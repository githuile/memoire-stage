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rys-my.sharepoint.com/personal/vmi_mesulog_fr/Documents/GE Vernova/"/>
    </mc:Choice>
  </mc:AlternateContent>
  <xr:revisionPtr revIDLastSave="1394" documentId="8_{1FFF1742-85B3-49CB-AA54-37A7968ADD34}" xr6:coauthVersionLast="47" xr6:coauthVersionMax="47" xr10:uidLastSave="{ECFDB653-5A29-4A99-A641-973F54FE7015}"/>
  <bookViews>
    <workbookView xWindow="-23148" yWindow="-108" windowWidth="23256" windowHeight="12456" xr2:uid="{71E0B12B-8F56-4320-A05F-6574F99746BB}"/>
  </bookViews>
  <sheets>
    <sheet name="Analyse 260424(V1+V2)" sheetId="2" r:id="rId1"/>
    <sheet name="Analyse 260430(V2)" sheetId="4" r:id="rId2"/>
    <sheet name="Analyse 260420" sheetId="1" r:id="rId3"/>
  </sheets>
  <calcPr calcId="191029" iterate="1" iterateDelta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4" l="1"/>
  <c r="I15" i="4"/>
  <c r="I48" i="4"/>
  <c r="I51" i="4"/>
  <c r="I49" i="4"/>
  <c r="I55" i="4"/>
  <c r="I54" i="4"/>
  <c r="I53" i="4"/>
  <c r="I52" i="4"/>
  <c r="I47" i="4"/>
  <c r="I45" i="4"/>
  <c r="I44" i="4"/>
  <c r="H43" i="4"/>
  <c r="G43" i="4"/>
  <c r="F43" i="4"/>
  <c r="E43" i="4"/>
  <c r="D43" i="4"/>
  <c r="C43" i="4"/>
  <c r="I42" i="4"/>
  <c r="I41" i="4"/>
  <c r="I40" i="4"/>
  <c r="I37" i="4"/>
  <c r="I36" i="4"/>
  <c r="I35" i="4"/>
  <c r="I34" i="4"/>
  <c r="I33" i="4"/>
  <c r="I32" i="4"/>
  <c r="I31" i="4"/>
  <c r="I30" i="4"/>
  <c r="I29" i="4"/>
  <c r="I27" i="4"/>
  <c r="I26" i="4"/>
  <c r="H25" i="4"/>
  <c r="G25" i="4"/>
  <c r="F25" i="4"/>
  <c r="I24" i="4"/>
  <c r="I23" i="4"/>
  <c r="J23" i="4" s="1"/>
  <c r="I22" i="4"/>
  <c r="I19" i="4"/>
  <c r="I18" i="4"/>
  <c r="I17" i="4"/>
  <c r="I16" i="4"/>
  <c r="I14" i="4"/>
  <c r="I11" i="4"/>
  <c r="I9" i="4"/>
  <c r="I8" i="4"/>
  <c r="H7" i="4"/>
  <c r="G7" i="4"/>
  <c r="F7" i="4"/>
  <c r="E7" i="4"/>
  <c r="C7" i="4"/>
  <c r="I6" i="4"/>
  <c r="I5" i="4"/>
  <c r="I4" i="4"/>
  <c r="I51" i="2"/>
  <c r="I52" i="2"/>
  <c r="I53" i="2"/>
  <c r="I54" i="2"/>
  <c r="H45" i="2"/>
  <c r="G45" i="2"/>
  <c r="F45" i="2"/>
  <c r="I32" i="2"/>
  <c r="I35" i="2"/>
  <c r="I34" i="2"/>
  <c r="I33" i="2"/>
  <c r="I14" i="2"/>
  <c r="I15" i="2"/>
  <c r="I16" i="2"/>
  <c r="I13" i="2"/>
  <c r="I18" i="2"/>
  <c r="I17" i="2"/>
  <c r="H7" i="2"/>
  <c r="G7" i="2"/>
  <c r="F7" i="2"/>
  <c r="E7" i="2"/>
  <c r="D7" i="2"/>
  <c r="C7" i="2"/>
  <c r="B7" i="2"/>
  <c r="I38" i="2"/>
  <c r="G26" i="2"/>
  <c r="H26" i="2"/>
  <c r="F26" i="2"/>
  <c r="I48" i="2"/>
  <c r="I10" i="2"/>
  <c r="I20" i="2"/>
  <c r="I37" i="2"/>
  <c r="I39" i="2"/>
  <c r="I56" i="2"/>
  <c r="I58" i="2"/>
  <c r="I19" i="2"/>
  <c r="I36" i="2"/>
  <c r="I55" i="2"/>
  <c r="I57" i="2"/>
  <c r="I50" i="2"/>
  <c r="I47" i="2"/>
  <c r="E45" i="2"/>
  <c r="D45" i="2"/>
  <c r="C45" i="2"/>
  <c r="B45" i="2"/>
  <c r="I44" i="2"/>
  <c r="I43" i="2"/>
  <c r="J43" i="2" s="1"/>
  <c r="I42" i="2"/>
  <c r="I4" i="2"/>
  <c r="I5" i="2"/>
  <c r="J5" i="2" s="1"/>
  <c r="I6" i="2"/>
  <c r="I12" i="2"/>
  <c r="I31" i="2"/>
  <c r="I29" i="2"/>
  <c r="I28" i="2"/>
  <c r="I25" i="2"/>
  <c r="I24" i="2"/>
  <c r="I23" i="2"/>
  <c r="I9" i="2"/>
  <c r="G5" i="1"/>
  <c r="D28" i="1"/>
  <c r="E28" i="1"/>
  <c r="C28" i="1"/>
  <c r="C27" i="1"/>
  <c r="C26" i="1"/>
  <c r="G4" i="1"/>
  <c r="D27" i="1"/>
  <c r="E27" i="1"/>
  <c r="F14" i="1"/>
  <c r="F23" i="1"/>
  <c r="G14" i="1"/>
  <c r="G23" i="1"/>
  <c r="C23" i="1"/>
  <c r="D23" i="1"/>
  <c r="E23" i="1"/>
  <c r="F5" i="1"/>
  <c r="B24" i="1"/>
  <c r="C24" i="1"/>
  <c r="D24" i="1"/>
  <c r="E24" i="1"/>
  <c r="F17" i="1"/>
  <c r="F18" i="1"/>
  <c r="F9" i="1"/>
  <c r="F16" i="1"/>
  <c r="F15" i="1"/>
  <c r="F13" i="1"/>
  <c r="G13" i="1" s="1"/>
  <c r="F12" i="1"/>
  <c r="F8" i="1"/>
  <c r="F7" i="1"/>
  <c r="F6" i="1"/>
  <c r="F4" i="1"/>
  <c r="F3" i="1"/>
  <c r="E26" i="1"/>
  <c r="D26" i="1"/>
  <c r="B26" i="1"/>
  <c r="B22" i="1"/>
  <c r="C22" i="1"/>
  <c r="D22" i="1"/>
  <c r="E22" i="1"/>
  <c r="B25" i="1"/>
  <c r="C25" i="1"/>
  <c r="D25" i="1"/>
  <c r="E25" i="1"/>
  <c r="C21" i="1"/>
  <c r="D21" i="1"/>
  <c r="E21" i="1"/>
  <c r="B21" i="1"/>
  <c r="I12" i="4" l="1"/>
  <c r="I50" i="4"/>
  <c r="J47" i="4"/>
  <c r="I43" i="4"/>
  <c r="J43" i="4" s="1"/>
  <c r="J29" i="4"/>
  <c r="J42" i="4"/>
  <c r="I25" i="4"/>
  <c r="J25" i="4" s="1"/>
  <c r="J11" i="4"/>
  <c r="J6" i="4"/>
  <c r="I7" i="4"/>
  <c r="J7" i="4" s="1"/>
  <c r="J41" i="4"/>
  <c r="J5" i="4"/>
  <c r="J24" i="4"/>
  <c r="I45" i="2"/>
  <c r="J45" i="2" s="1"/>
  <c r="J31" i="2"/>
  <c r="I26" i="2"/>
  <c r="J26" i="2" s="1"/>
  <c r="J50" i="2"/>
  <c r="J44" i="2"/>
  <c r="J12" i="2"/>
  <c r="J6" i="2"/>
  <c r="I7" i="2"/>
  <c r="J7" i="2" s="1"/>
  <c r="J25" i="2"/>
  <c r="J24" i="2"/>
  <c r="G7" i="1"/>
  <c r="G16" i="1"/>
  <c r="F24" i="1"/>
  <c r="G15" i="1"/>
  <c r="G6" i="1"/>
  <c r="F22" i="1"/>
  <c r="G22" i="1" s="1"/>
  <c r="F26" i="1"/>
  <c r="F21" i="1"/>
  <c r="F25" i="1"/>
  <c r="G25" i="1" l="1"/>
  <c r="G24" i="1"/>
</calcChain>
</file>

<file path=xl/sharedStrings.xml><?xml version="1.0" encoding="utf-8"?>
<sst xmlns="http://schemas.openxmlformats.org/spreadsheetml/2006/main" count="192" uniqueCount="47">
  <si>
    <t>Année</t>
  </si>
  <si>
    <t>Nombre modules</t>
  </si>
  <si>
    <t>Nombres modules sans SAV</t>
  </si>
  <si>
    <t>Nombre modules validés</t>
  </si>
  <si>
    <t>Nombre modules non validés</t>
  </si>
  <si>
    <t>total</t>
  </si>
  <si>
    <t>Nombre tests au total</t>
  </si>
  <si>
    <t>Banc 1 VM-TD14 -&gt; banc R&amp;D</t>
  </si>
  <si>
    <t>Nb Test/module Moyenne</t>
  </si>
  <si>
    <t>Nb Test/module Mediane</t>
  </si>
  <si>
    <t>Banc 1 + 2</t>
  </si>
  <si>
    <t>Banc 2 VM-TD14-BHT</t>
  </si>
  <si>
    <t>% de test PASSED</t>
  </si>
  <si>
    <t>% de test Non Conforme</t>
  </si>
  <si>
    <t>Modules type V1 + V2</t>
  </si>
  <si>
    <t>Nb modules Prod validés</t>
  </si>
  <si>
    <t>Nb modules Prod Non validés</t>
  </si>
  <si>
    <t>Ratio module V2 sur total (%)</t>
  </si>
  <si>
    <t>Nb modules testés au Total</t>
  </si>
  <si>
    <t>Nb modules testés Production</t>
  </si>
  <si>
    <t>Nb Essais Prod total</t>
  </si>
  <si>
    <t>Ratio Nb Essai Passed</t>
  </si>
  <si>
    <t>Ratio Nb Essai Failed</t>
  </si>
  <si>
    <t>Ratio Nb Essai Terminated</t>
  </si>
  <si>
    <t>Ratio Nb Essai Error</t>
  </si>
  <si>
    <t>Time to First Pass (TtFP)</t>
  </si>
  <si>
    <r>
      <t>Effort :</t>
    </r>
    <r>
      <rPr>
        <sz val="11"/>
        <color theme="1"/>
        <rFont val="Aptos Narrow"/>
        <family val="2"/>
        <scheme val="minor"/>
      </rPr>
      <t xml:space="preserve"> Nombre d’essais jusqu’au premier PASS</t>
    </r>
  </si>
  <si>
    <t>First Pass Yield (FPY)</t>
  </si>
  <si>
    <t>Effort Pass (Moyenne)</t>
  </si>
  <si>
    <t>Effort Pass (Mediane)</t>
  </si>
  <si>
    <t>Nb Essai Erreur Lundi 6h-10h</t>
  </si>
  <si>
    <t>Nb Essai Erreur MMJV/4 6h-10h</t>
  </si>
  <si>
    <t>Ratio Essai Erreur MMJV/4 6h-10h</t>
  </si>
  <si>
    <t>Ratio Essai Erreur Lundi 6h-10h</t>
  </si>
  <si>
    <t>Time to First Pass (TtFP) en Heure</t>
  </si>
  <si>
    <t>Modules type V2</t>
  </si>
  <si>
    <t>Essai_Passed</t>
  </si>
  <si>
    <t>Essai_Failed</t>
  </si>
  <si>
    <t>Essai_Terminated</t>
  </si>
  <si>
    <t>Essai_Error</t>
  </si>
  <si>
    <t>StepCount</t>
  </si>
  <si>
    <t>HeureDeDebut</t>
  </si>
  <si>
    <t>Annee</t>
  </si>
  <si>
    <t>Passed</t>
  </si>
  <si>
    <t>Failed</t>
  </si>
  <si>
    <t>Terminated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</si>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</sst>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i/>
      <u/>
      <sz val="11"/>
      <color theme="1"/>
      <name val="Arial"/>
      <family val="2"/>
    </font>
    <font>
      <b/>
      <sz val="10"/>
      <color theme="1"/>
      <name val="Century Gothic"/>
      <family val="2"/>
    </font>
    <font>
      <sz val="10"/>
      <color rgb="FFFF0000"/>
      <name val="Century Gothic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Century Gothic"/>
      <family val="2"/>
    </font>
    <font>
      <b/>
      <sz val="10"/>
      <color rgb="FF00B050"/>
      <name val="Century Gothic"/>
      <family val="2"/>
    </font>
    <font>
      <b/>
      <sz val="10"/>
      <color theme="6" tint="-0.249977111117893"/>
      <name val="Century Gothic"/>
      <family val="2"/>
    </font>
    <font>
      <b/>
      <sz val="10"/>
      <color rgb="FFFF0000"/>
      <name val="Century Gothic"/>
      <family val="2"/>
    </font>
    <font>
      <b/>
      <sz val="10"/>
      <color theme="7" tint="-0.499984740745262"/>
      <name val="Century Gothic"/>
      <family val="2"/>
    </font>
    <font>
      <sz val="10"/>
      <color theme="9" tint="-0.499984740745262"/>
      <name val="Century Gothic"/>
      <family val="2"/>
    </font>
    <font>
      <sz val="10"/>
      <color theme="5" tint="-0.249977111117893"/>
      <name val="Century Gothic"/>
      <family val="2"/>
    </font>
    <font>
      <sz val="11"/>
      <color indexed="8"/>
      <name val="Calibri"/>
    </font>
    <font>
      <sz val="10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</cellStyleXfs>
  <cellXfs count="5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9" fontId="2" fillId="0" borderId="5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164" fontId="2" fillId="4" borderId="4" xfId="0" applyNumberFormat="1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9" fontId="0" fillId="0" borderId="0" xfId="1" applyFont="1"/>
    <xf numFmtId="0" fontId="5" fillId="0" borderId="4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9" fontId="0" fillId="0" borderId="0" xfId="0" applyNumberFormat="1"/>
    <xf numFmtId="0" fontId="6" fillId="2" borderId="3" xfId="0" applyFont="1" applyFill="1" applyBorder="1" applyAlignment="1">
      <alignment vertical="center"/>
    </xf>
    <xf numFmtId="0" fontId="7" fillId="0" borderId="0" xfId="0" applyFont="1"/>
    <xf numFmtId="0" fontId="8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10" fontId="2" fillId="0" borderId="4" xfId="0" applyNumberFormat="1" applyFont="1" applyBorder="1" applyAlignment="1">
      <alignment vertical="center"/>
    </xf>
    <xf numFmtId="10" fontId="0" fillId="0" borderId="0" xfId="0" applyNumberFormat="1"/>
    <xf numFmtId="0" fontId="15" fillId="0" borderId="8" xfId="2" applyFont="1" applyBorder="1" applyAlignment="1">
      <alignment wrapText="1"/>
    </xf>
    <xf numFmtId="0" fontId="15" fillId="0" borderId="8" xfId="2" applyFont="1" applyBorder="1" applyAlignment="1">
      <alignment horizontal="right" wrapText="1"/>
    </xf>
    <xf numFmtId="0" fontId="15" fillId="0" borderId="7" xfId="2" applyFont="1" applyBorder="1" applyAlignment="1">
      <alignment horizontal="center"/>
    </xf>
    <xf numFmtId="2" fontId="2" fillId="0" borderId="4" xfId="0" applyNumberFormat="1" applyFont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10" fontId="2" fillId="0" borderId="5" xfId="0" applyNumberFormat="1" applyFont="1" applyBorder="1" applyAlignment="1">
      <alignment horizontal="center" vertical="center"/>
    </xf>
    <xf numFmtId="2" fontId="2" fillId="7" borderId="4" xfId="0" applyNumberFormat="1" applyFont="1" applyFill="1" applyBorder="1" applyAlignment="1">
      <alignment vertical="center"/>
    </xf>
    <xf numFmtId="1" fontId="2" fillId="0" borderId="4" xfId="0" applyNumberFormat="1" applyFont="1" applyBorder="1" applyAlignment="1">
      <alignment vertical="center"/>
    </xf>
    <xf numFmtId="1" fontId="2" fillId="7" borderId="4" xfId="0" applyNumberFormat="1" applyFont="1" applyFill="1" applyBorder="1" applyAlignment="1">
      <alignment vertical="center"/>
    </xf>
    <xf numFmtId="0" fontId="0" fillId="6" borderId="0" xfId="0" applyFill="1" applyAlignment="1">
      <alignment horizontal="center"/>
    </xf>
    <xf numFmtId="10" fontId="2" fillId="0" borderId="1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10" fontId="2" fillId="0" borderId="3" xfId="0" applyNumberFormat="1" applyFont="1" applyBorder="1" applyAlignment="1">
      <alignment vertical="center"/>
    </xf>
    <xf numFmtId="10" fontId="2" fillId="7" borderId="4" xfId="0" applyNumberFormat="1" applyFont="1" applyFill="1" applyBorder="1" applyAlignment="1">
      <alignment vertical="center"/>
    </xf>
    <xf numFmtId="10" fontId="2" fillId="0" borderId="4" xfId="0" applyNumberFormat="1" applyFont="1" applyFill="1" applyBorder="1" applyAlignment="1">
      <alignment vertical="center"/>
    </xf>
    <xf numFmtId="0" fontId="15" fillId="8" borderId="7" xfId="3" applyFont="1" applyFill="1" applyBorder="1" applyAlignment="1">
      <alignment horizontal="center"/>
    </xf>
    <xf numFmtId="0" fontId="15" fillId="0" borderId="8" xfId="3" applyFont="1" applyFill="1" applyBorder="1" applyAlignment="1">
      <alignment horizontal="right" wrapText="1"/>
    </xf>
    <xf numFmtId="0" fontId="15" fillId="0" borderId="9" xfId="3" applyFont="1" applyFill="1" applyBorder="1" applyAlignment="1">
      <alignment horizontal="right" wrapText="1"/>
    </xf>
    <xf numFmtId="0" fontId="15" fillId="0" borderId="0" xfId="3" applyFont="1" applyFill="1" applyBorder="1" applyAlignment="1">
      <alignment horizontal="right" wrapText="1"/>
    </xf>
    <xf numFmtId="0" fontId="15" fillId="0" borderId="10" xfId="3" applyFont="1" applyFill="1" applyBorder="1" applyAlignment="1">
      <alignment horizontal="right" wrapText="1"/>
    </xf>
    <xf numFmtId="0" fontId="15" fillId="8" borderId="7" xfId="4" applyFont="1" applyFill="1" applyBorder="1" applyAlignment="1">
      <alignment horizontal="center"/>
    </xf>
    <xf numFmtId="0" fontId="15" fillId="0" borderId="8" xfId="4" applyFont="1" applyFill="1" applyBorder="1" applyAlignment="1">
      <alignment horizontal="right" wrapText="1"/>
    </xf>
    <xf numFmtId="0" fontId="15" fillId="0" borderId="9" xfId="4" applyFont="1" applyFill="1" applyBorder="1" applyAlignment="1">
      <alignment horizontal="right" wrapText="1"/>
    </xf>
  </cellXfs>
  <cellStyles count="5">
    <cellStyle name="Normal" xfId="0" builtinId="0"/>
    <cellStyle name="Normal_Analyse 260424" xfId="2" xr:uid="{60C97EFB-F1E5-4A3E-BB10-03DD6938FFDB}"/>
    <cellStyle name="Normal_Analyse 260424(V1+V2)" xfId="4" xr:uid="{BB9A1051-97B3-4674-B4E6-8E49C80677D5}"/>
    <cellStyle name="Normal_Analyse 260430(V2)" xfId="3" xr:uid="{BCA9B6C0-FB0D-4249-B68C-F633B1C693D3}"/>
    <cellStyle name="Pourcentage" xfId="1" builtinId="5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Nombre de test de modules V1+V2 par Pas d'arrêt et par statut de fin, depuis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260424(V1+V2)'!$R$1</c:f>
              <c:strCache>
                <c:ptCount val="1"/>
                <c:pt idx="0">
                  <c:v>Essai_Passed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'Analyse 260424(V1+V2)'!$R$2:$R$40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A-4D94-9EC2-743982E61E3B}"/>
            </c:ext>
          </c:extLst>
        </c:ser>
        <c:ser>
          <c:idx val="1"/>
          <c:order val="1"/>
          <c:tx>
            <c:strRef>
              <c:f>'Analyse 260424(V1+V2)'!$S$1</c:f>
              <c:strCache>
                <c:ptCount val="1"/>
                <c:pt idx="0">
                  <c:v>Essai_Failed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'Analyse 260424(V1+V2)'!$S$2:$S$40</c:f>
              <c:numCache>
                <c:formatCode>General</c:formatCode>
                <c:ptCount val="39"/>
                <c:pt idx="0">
                  <c:v>45</c:v>
                </c:pt>
                <c:pt idx="1">
                  <c:v>104</c:v>
                </c:pt>
                <c:pt idx="2">
                  <c:v>35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2</c:v>
                </c:pt>
                <c:pt idx="7">
                  <c:v>1</c:v>
                </c:pt>
                <c:pt idx="8">
                  <c:v>12</c:v>
                </c:pt>
                <c:pt idx="9">
                  <c:v>14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83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7A-4D94-9EC2-743982E61E3B}"/>
            </c:ext>
          </c:extLst>
        </c:ser>
        <c:ser>
          <c:idx val="2"/>
          <c:order val="2"/>
          <c:tx>
            <c:strRef>
              <c:f>'Analyse 260424(V1+V2)'!$T$1</c:f>
              <c:strCache>
                <c:ptCount val="1"/>
                <c:pt idx="0">
                  <c:v>Essai_Terminated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'Analyse 260424(V1+V2)'!$T$2:$T$40</c:f>
              <c:numCache>
                <c:formatCode>General</c:formatCode>
                <c:ptCount val="39"/>
                <c:pt idx="0">
                  <c:v>18</c:v>
                </c:pt>
                <c:pt idx="1">
                  <c:v>1412</c:v>
                </c:pt>
                <c:pt idx="2">
                  <c:v>23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  <c:pt idx="12">
                  <c:v>16</c:v>
                </c:pt>
                <c:pt idx="13">
                  <c:v>40</c:v>
                </c:pt>
                <c:pt idx="14">
                  <c:v>5</c:v>
                </c:pt>
                <c:pt idx="15">
                  <c:v>12</c:v>
                </c:pt>
                <c:pt idx="16">
                  <c:v>35</c:v>
                </c:pt>
                <c:pt idx="17">
                  <c:v>21</c:v>
                </c:pt>
                <c:pt idx="18">
                  <c:v>11</c:v>
                </c:pt>
                <c:pt idx="19">
                  <c:v>14</c:v>
                </c:pt>
                <c:pt idx="20">
                  <c:v>3</c:v>
                </c:pt>
                <c:pt idx="21">
                  <c:v>49</c:v>
                </c:pt>
                <c:pt idx="22">
                  <c:v>27</c:v>
                </c:pt>
                <c:pt idx="23">
                  <c:v>25</c:v>
                </c:pt>
                <c:pt idx="24">
                  <c:v>39</c:v>
                </c:pt>
                <c:pt idx="25">
                  <c:v>41</c:v>
                </c:pt>
                <c:pt idx="26">
                  <c:v>40</c:v>
                </c:pt>
                <c:pt idx="27">
                  <c:v>40</c:v>
                </c:pt>
                <c:pt idx="28">
                  <c:v>38</c:v>
                </c:pt>
                <c:pt idx="29">
                  <c:v>33</c:v>
                </c:pt>
                <c:pt idx="30">
                  <c:v>21</c:v>
                </c:pt>
                <c:pt idx="31">
                  <c:v>26</c:v>
                </c:pt>
                <c:pt idx="32">
                  <c:v>543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7A-4D94-9EC2-743982E61E3B}"/>
            </c:ext>
          </c:extLst>
        </c:ser>
        <c:ser>
          <c:idx val="3"/>
          <c:order val="3"/>
          <c:tx>
            <c:strRef>
              <c:f>'Analyse 260424(V1+V2)'!$U$1</c:f>
              <c:strCache>
                <c:ptCount val="1"/>
                <c:pt idx="0">
                  <c:v>Essai_Error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'Analyse 260424(V1+V2)'!$U$2:$U$40</c:f>
              <c:numCache>
                <c:formatCode>General</c:formatCode>
                <c:ptCount val="39"/>
                <c:pt idx="0">
                  <c:v>33</c:v>
                </c:pt>
                <c:pt idx="1">
                  <c:v>4</c:v>
                </c:pt>
                <c:pt idx="2">
                  <c:v>20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112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37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8</c:v>
                </c:pt>
                <c:pt idx="32">
                  <c:v>107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2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7A-4D94-9EC2-743982E61E3B}"/>
            </c:ext>
          </c:extLst>
        </c:ser>
        <c:ser>
          <c:idx val="4"/>
          <c:order val="4"/>
          <c:tx>
            <c:strRef>
              <c:f>'Analyse 260424(V1+V2)'!$V$1</c:f>
              <c:strCache>
                <c:ptCount val="1"/>
                <c:pt idx="0">
                  <c:v>StepCount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'Analyse 260424(V1+V2)'!$V$2:$V$40</c:f>
            </c:numRef>
          </c:val>
          <c:extLst>
            <c:ext xmlns:c16="http://schemas.microsoft.com/office/drawing/2014/chart" uri="{C3380CC4-5D6E-409C-BE32-E72D297353CC}">
              <c16:uniqueId val="{00000004-6F7A-4D94-9EC2-743982E61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3946808"/>
        <c:axId val="444129512"/>
        <c:extLst>
          <c:ext xmlns:c15="http://schemas.microsoft.com/office/drawing/2012/chart" uri="{02D57815-91ED-43cb-92C2-25804820EDAC}">
            <c15:filteredBa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'Analyse 260424(V1+V2)'!$W$1</c15:sqref>
                        </c15:formulaRef>
                      </c:ext>
                    </c:extLst>
                    <c:strCache>
                      <c:ptCount val="1"/>
                      <c:pt idx="0">
                        <c:v>StepCount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'Analyse 260424(V1+V2)'!$W$2:$W$40</c15:sqref>
                        </c15:formulaRef>
                      </c:ext>
                    </c:extLst>
                    <c:numCache>
                      <c:formatCode>General</c:formatCode>
                      <c:ptCount val="3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F7A-4D94-9EC2-743982E61E3B}"/>
                  </c:ext>
                </c:extLst>
              </c15:ser>
            </c15:filteredBarSeries>
          </c:ext>
        </c:extLst>
      </c:barChart>
      <c:catAx>
        <c:axId val="453946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N°</a:t>
                </a:r>
                <a:r>
                  <a:rPr lang="fr-FR" baseline="0"/>
                  <a:t> de Pas d'essai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129512"/>
        <c:crosses val="autoZero"/>
        <c:auto val="1"/>
        <c:lblAlgn val="ctr"/>
        <c:lblOffset val="100"/>
        <c:noMultiLvlLbl val="0"/>
      </c:catAx>
      <c:valAx>
        <c:axId val="44412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394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</a:t>
            </a:r>
            <a:r>
              <a:rPr lang="fr-FR" baseline="0"/>
              <a:t> de test de modules V2 par Pas d'arrêt et par statut de fin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'Analyse 260430(V2)'!$R$1</c:f>
              <c:strCache>
                <c:ptCount val="1"/>
                <c:pt idx="0">
                  <c:v>Essai_Passed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260430(V2)'!$W$3:$W$41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'Analyse 260430(V2)'!$R$3:$R$41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9-447D-8AC9-CB3F0CB55231}"/>
            </c:ext>
          </c:extLst>
        </c:ser>
        <c:ser>
          <c:idx val="1"/>
          <c:order val="1"/>
          <c:tx>
            <c:strRef>
              <c:f>'Analyse 260430(V2)'!$S$1</c:f>
              <c:strCache>
                <c:ptCount val="1"/>
                <c:pt idx="0">
                  <c:v>Essai_Failed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cat>
            <c:numRef>
              <c:f>'Analyse 260430(V2)'!$W$3:$W$41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'Analyse 260430(V2)'!$S$3:$S$41</c:f>
              <c:numCache>
                <c:formatCode>General</c:formatCode>
                <c:ptCount val="39"/>
                <c:pt idx="0">
                  <c:v>39</c:v>
                </c:pt>
                <c:pt idx="1">
                  <c:v>65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0</c:v>
                </c:pt>
                <c:pt idx="8">
                  <c:v>11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9-447D-8AC9-CB3F0CB55231}"/>
            </c:ext>
          </c:extLst>
        </c:ser>
        <c:ser>
          <c:idx val="2"/>
          <c:order val="2"/>
          <c:tx>
            <c:strRef>
              <c:f>'Analyse 260430(V2)'!$T$1</c:f>
              <c:strCache>
                <c:ptCount val="1"/>
                <c:pt idx="0">
                  <c:v>Essai_Terminated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260430(V2)'!$W$3:$W$41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'Analyse 260430(V2)'!$T$3:$T$41</c:f>
              <c:numCache>
                <c:formatCode>General</c:formatCode>
                <c:ptCount val="39"/>
                <c:pt idx="0">
                  <c:v>12</c:v>
                </c:pt>
                <c:pt idx="1">
                  <c:v>1230</c:v>
                </c:pt>
                <c:pt idx="2">
                  <c:v>18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14</c:v>
                </c:pt>
                <c:pt idx="14">
                  <c:v>2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4</c:v>
                </c:pt>
                <c:pt idx="19">
                  <c:v>12</c:v>
                </c:pt>
                <c:pt idx="20">
                  <c:v>3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11</c:v>
                </c:pt>
                <c:pt idx="25">
                  <c:v>11</c:v>
                </c:pt>
                <c:pt idx="26">
                  <c:v>16</c:v>
                </c:pt>
                <c:pt idx="27">
                  <c:v>17</c:v>
                </c:pt>
                <c:pt idx="28">
                  <c:v>20</c:v>
                </c:pt>
                <c:pt idx="29">
                  <c:v>17</c:v>
                </c:pt>
                <c:pt idx="30">
                  <c:v>11</c:v>
                </c:pt>
                <c:pt idx="31">
                  <c:v>21</c:v>
                </c:pt>
                <c:pt idx="32">
                  <c:v>466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9-447D-8AC9-CB3F0CB55231}"/>
            </c:ext>
          </c:extLst>
        </c:ser>
        <c:ser>
          <c:idx val="3"/>
          <c:order val="3"/>
          <c:tx>
            <c:strRef>
              <c:f>'Analyse 260430(V2)'!$U$1</c:f>
              <c:strCache>
                <c:ptCount val="1"/>
                <c:pt idx="0">
                  <c:v>Essai_Error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260430(V2)'!$W$3:$W$41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'Analyse 260430(V2)'!$U$3:$U$41</c:f>
              <c:numCache>
                <c:formatCode>General</c:formatCode>
                <c:ptCount val="39"/>
                <c:pt idx="0">
                  <c:v>32</c:v>
                </c:pt>
                <c:pt idx="1">
                  <c:v>3</c:v>
                </c:pt>
                <c:pt idx="2">
                  <c:v>9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4</c:v>
                </c:pt>
                <c:pt idx="32">
                  <c:v>47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C9-447D-8AC9-CB3F0CB55231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'Analyse 260430(V2)'!$W$3:$W$41</c:f>
              <c:numCache>
                <c:formatCode>General</c:formatCode>
                <c:ptCount val="3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</c:numCache>
            </c:numRef>
          </c:cat>
          <c:val>
            <c:numRef>
              <c:f>'Analyse 260430(V2)'!$V$2:$V$41</c:f>
            </c:numRef>
          </c:val>
          <c:extLst>
            <c:ext xmlns:c16="http://schemas.microsoft.com/office/drawing/2014/chart" uri="{C3380CC4-5D6E-409C-BE32-E72D297353CC}">
              <c16:uniqueId val="{00000004-38C9-447D-8AC9-CB3F0CB55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9491720"/>
        <c:axId val="449494600"/>
      </c:barChart>
      <c:catAx>
        <c:axId val="449491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N°</a:t>
                </a:r>
                <a:r>
                  <a:rPr lang="fr-FR" baseline="0"/>
                  <a:t> du Pas d'essai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9494600"/>
        <c:crosses val="autoZero"/>
        <c:auto val="1"/>
        <c:lblAlgn val="ctr"/>
        <c:lblOffset val="100"/>
        <c:noMultiLvlLbl val="0"/>
      </c:catAx>
      <c:valAx>
        <c:axId val="449494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Nombre</a:t>
                </a:r>
                <a:r>
                  <a:rPr lang="fr-FR" baseline="0"/>
                  <a:t>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949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du nombre de test selon par statut de fin et par heure les lundis de 2024, </a:t>
            </a:r>
            <a:r>
              <a:rPr lang="fr-F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(V2 banc BHT)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'Analyse 260430(V2)'!$AA$1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260430(V2)'!$Y$2:$Y$10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260430(V2)'!$AA$2:$AA$10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43-496F-B8DA-6D108A3FDE1C}"/>
            </c:ext>
          </c:extLst>
        </c:ser>
        <c:ser>
          <c:idx val="3"/>
          <c:order val="3"/>
          <c:tx>
            <c:strRef>
              <c:f>'Analyse 260430(V2)'!$AB$1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260430(V2)'!$Y$2:$Y$10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260430(V2)'!$AB$2:$AB$10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43-496F-B8DA-6D108A3FDE1C}"/>
            </c:ext>
          </c:extLst>
        </c:ser>
        <c:ser>
          <c:idx val="4"/>
          <c:order val="4"/>
          <c:tx>
            <c:strRef>
              <c:f>'Analyse 260430(V2)'!$AC$1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260430(V2)'!$Y$2:$Y$10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260430(V2)'!$AC$2:$AC$10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0</c:v>
                </c:pt>
                <c:pt idx="3">
                  <c:v>14</c:v>
                </c:pt>
                <c:pt idx="4">
                  <c:v>1</c:v>
                </c:pt>
                <c:pt idx="5">
                  <c:v>10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43-496F-B8DA-6D108A3FDE1C}"/>
            </c:ext>
          </c:extLst>
        </c:ser>
        <c:ser>
          <c:idx val="5"/>
          <c:order val="5"/>
          <c:tx>
            <c:strRef>
              <c:f>'Analyse 260430(V2)'!$AD$1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260430(V2)'!$Y$2:$Y$10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260430(V2)'!$AD$2:$AD$10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43-496F-B8DA-6D108A3FD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437840"/>
        <c:axId val="10164382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'Analyse 260430(V2)'!$Y$1</c15:sqref>
                        </c15:formulaRef>
                      </c:ext>
                    </c:extLst>
                    <c:strCache>
                      <c:ptCount val="1"/>
                      <c:pt idx="0">
                        <c:v>HeureDeDebut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'Analyse 260430(V2)'!$Y$2:$Y$10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</c:v>
                      </c:pt>
                      <c:pt idx="1">
                        <c:v>8</c:v>
                      </c:pt>
                      <c:pt idx="2">
                        <c:v>9</c:v>
                      </c:pt>
                      <c:pt idx="3">
                        <c:v>11</c:v>
                      </c:pt>
                      <c:pt idx="4">
                        <c:v>12</c:v>
                      </c:pt>
                      <c:pt idx="5">
                        <c:v>13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'Analyse 260430(V2)'!$Y$2:$Y$10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</c:v>
                      </c:pt>
                      <c:pt idx="1">
                        <c:v>8</c:v>
                      </c:pt>
                      <c:pt idx="2">
                        <c:v>9</c:v>
                      </c:pt>
                      <c:pt idx="3">
                        <c:v>11</c:v>
                      </c:pt>
                      <c:pt idx="4">
                        <c:v>12</c:v>
                      </c:pt>
                      <c:pt idx="5">
                        <c:v>13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B43-496F-B8DA-6D108A3FDE1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'Analyse 260430(V2)'!$Z$1</c15:sqref>
                        </c15:formulaRef>
                      </c:ext>
                    </c:extLst>
                    <c:strCache>
                      <c:ptCount val="1"/>
                      <c:pt idx="0">
                        <c:v>Annee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'Analyse 260430(V2)'!$Y$2:$Y$10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</c:v>
                      </c:pt>
                      <c:pt idx="1">
                        <c:v>8</c:v>
                      </c:pt>
                      <c:pt idx="2">
                        <c:v>9</c:v>
                      </c:pt>
                      <c:pt idx="3">
                        <c:v>11</c:v>
                      </c:pt>
                      <c:pt idx="4">
                        <c:v>12</c:v>
                      </c:pt>
                      <c:pt idx="5">
                        <c:v>13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'Analyse 260430(V2)'!$Z$2:$Z$10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2024</c:v>
                      </c:pt>
                      <c:pt idx="1">
                        <c:v>2024</c:v>
                      </c:pt>
                      <c:pt idx="2">
                        <c:v>2024</c:v>
                      </c:pt>
                      <c:pt idx="3">
                        <c:v>2024</c:v>
                      </c:pt>
                      <c:pt idx="4">
                        <c:v>2024</c:v>
                      </c:pt>
                      <c:pt idx="5">
                        <c:v>2024</c:v>
                      </c:pt>
                      <c:pt idx="6">
                        <c:v>2024</c:v>
                      </c:pt>
                      <c:pt idx="7">
                        <c:v>2024</c:v>
                      </c:pt>
                      <c:pt idx="8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B43-496F-B8DA-6D108A3FDE1C}"/>
                  </c:ext>
                </c:extLst>
              </c15:ser>
            </c15:filteredBarSeries>
          </c:ext>
        </c:extLst>
      </c:barChart>
      <c:catAx>
        <c:axId val="10164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 de début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8200"/>
        <c:crosses val="autoZero"/>
        <c:auto val="1"/>
        <c:lblAlgn val="ctr"/>
        <c:lblOffset val="100"/>
        <c:noMultiLvlLbl val="0"/>
      </c:catAx>
      <c:valAx>
        <c:axId val="101643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du nombre de test selon par statut de fin et par heure les lundis de 2025, </a:t>
            </a:r>
            <a:r>
              <a:rPr lang="fr-F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(V2 banc BHT)</a:t>
            </a:r>
            <a:endParaRPr lang="fr-F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'Analyse 260430(V2)'!$AA$1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260430(V2)'!$Y$12:$Y$21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</c:numCache>
            </c:numRef>
          </c:cat>
          <c:val>
            <c:numRef>
              <c:f>'Analyse 260430(V2)'!$AA$12:$AA$21</c:f>
              <c:numCache>
                <c:formatCode>General</c:formatCode>
                <c:ptCount val="10"/>
                <c:pt idx="0">
                  <c:v>4</c:v>
                </c:pt>
                <c:pt idx="1">
                  <c:v>20</c:v>
                </c:pt>
                <c:pt idx="2">
                  <c:v>2</c:v>
                </c:pt>
                <c:pt idx="3">
                  <c:v>0</c:v>
                </c:pt>
                <c:pt idx="4">
                  <c:v>20</c:v>
                </c:pt>
                <c:pt idx="5">
                  <c:v>8</c:v>
                </c:pt>
                <c:pt idx="6">
                  <c:v>11</c:v>
                </c:pt>
                <c:pt idx="7">
                  <c:v>6</c:v>
                </c:pt>
                <c:pt idx="8">
                  <c:v>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9-41B4-8098-F573C310D73F}"/>
            </c:ext>
          </c:extLst>
        </c:ser>
        <c:ser>
          <c:idx val="3"/>
          <c:order val="1"/>
          <c:tx>
            <c:strRef>
              <c:f>'Analyse 260430(V2)'!$AB$1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260430(V2)'!$Y$12:$Y$21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</c:numCache>
            </c:numRef>
          </c:cat>
          <c:val>
            <c:numRef>
              <c:f>'Analyse 260430(V2)'!$AB$12:$AB$21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9-41B4-8098-F573C310D73F}"/>
            </c:ext>
          </c:extLst>
        </c:ser>
        <c:ser>
          <c:idx val="4"/>
          <c:order val="2"/>
          <c:tx>
            <c:strRef>
              <c:f>'Analyse 260430(V2)'!$AC$1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260430(V2)'!$Y$12:$Y$21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</c:numCache>
            </c:numRef>
          </c:cat>
          <c:val>
            <c:numRef>
              <c:f>'Analyse 260430(V2)'!$AC$12:$AC$21</c:f>
              <c:numCache>
                <c:formatCode>General</c:formatCode>
                <c:ptCount val="10"/>
                <c:pt idx="0">
                  <c:v>16</c:v>
                </c:pt>
                <c:pt idx="1">
                  <c:v>17</c:v>
                </c:pt>
                <c:pt idx="2">
                  <c:v>3</c:v>
                </c:pt>
                <c:pt idx="3">
                  <c:v>8</c:v>
                </c:pt>
                <c:pt idx="4">
                  <c:v>27</c:v>
                </c:pt>
                <c:pt idx="5">
                  <c:v>12</c:v>
                </c:pt>
                <c:pt idx="6">
                  <c:v>15</c:v>
                </c:pt>
                <c:pt idx="7">
                  <c:v>8</c:v>
                </c:pt>
                <c:pt idx="8">
                  <c:v>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49-41B4-8098-F573C310D73F}"/>
            </c:ext>
          </c:extLst>
        </c:ser>
        <c:ser>
          <c:idx val="5"/>
          <c:order val="3"/>
          <c:tx>
            <c:strRef>
              <c:f>'Analyse 260430(V2)'!$AD$1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260430(V2)'!$Y$12:$Y$21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</c:numCache>
            </c:numRef>
          </c:cat>
          <c:val>
            <c:numRef>
              <c:f>'Analyse 260430(V2)'!$AD$12:$AD$21</c:f>
              <c:numCache>
                <c:formatCode>General</c:formatCode>
                <c:ptCount val="10"/>
                <c:pt idx="0">
                  <c:v>2</c:v>
                </c:pt>
                <c:pt idx="1">
                  <c:v>12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49-41B4-8098-F573C310D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437840"/>
        <c:axId val="1016438200"/>
        <c:extLst/>
      </c:barChart>
      <c:catAx>
        <c:axId val="10164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 de début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8200"/>
        <c:crosses val="autoZero"/>
        <c:auto val="1"/>
        <c:lblAlgn val="ctr"/>
        <c:lblOffset val="100"/>
        <c:noMultiLvlLbl val="0"/>
      </c:catAx>
      <c:valAx>
        <c:axId val="101643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du nombre de test selon par statut de fin et par heure les lundis de 2026, (V2 banc BHT)</a:t>
            </a:r>
            <a:endParaRPr lang="fr-FR"/>
          </a:p>
        </c:rich>
      </c:tx>
      <c:layout>
        <c:manualLayout>
          <c:xMode val="edge"/>
          <c:yMode val="edge"/>
          <c:x val="0.11319444444444444"/>
          <c:y val="1.8596001859600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'Analyse 260430(V2)'!$AA$1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260430(V2)'!$Y$23:$Y$27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</c:numCache>
            </c:numRef>
          </c:cat>
          <c:val>
            <c:numRef>
              <c:f>'Analyse 260430(V2)'!$AA$23:$AA$27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7-4D69-BE64-40C921DC4C07}"/>
            </c:ext>
          </c:extLst>
        </c:ser>
        <c:ser>
          <c:idx val="3"/>
          <c:order val="3"/>
          <c:tx>
            <c:strRef>
              <c:f>'Analyse 260430(V2)'!$AB$1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260430(V2)'!$Y$23:$Y$27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</c:numCache>
            </c:numRef>
          </c:cat>
          <c:val>
            <c:numRef>
              <c:f>'Analyse 260430(V2)'!$AB$23:$AB$27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7-4D69-BE64-40C921DC4C07}"/>
            </c:ext>
          </c:extLst>
        </c:ser>
        <c:ser>
          <c:idx val="4"/>
          <c:order val="4"/>
          <c:tx>
            <c:strRef>
              <c:f>'Analyse 260430(V2)'!$AC$1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260430(V2)'!$Y$23:$Y$27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</c:numCache>
            </c:numRef>
          </c:cat>
          <c:val>
            <c:numRef>
              <c:f>'Analyse 260430(V2)'!$AC$23:$AC$27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7-4D69-BE64-40C921DC4C07}"/>
            </c:ext>
          </c:extLst>
        </c:ser>
        <c:ser>
          <c:idx val="5"/>
          <c:order val="5"/>
          <c:tx>
            <c:strRef>
              <c:f>'Analyse 260430(V2)'!$AD$1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260430(V2)'!$Y$23:$Y$27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13</c:v>
                </c:pt>
                <c:pt idx="3">
                  <c:v>15</c:v>
                </c:pt>
                <c:pt idx="4">
                  <c:v>16</c:v>
                </c:pt>
              </c:numCache>
            </c:numRef>
          </c:cat>
          <c:val>
            <c:numRef>
              <c:f>'Analyse 260430(V2)'!$AD$23:$AD$27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67-4D69-BE64-40C921DC4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437840"/>
        <c:axId val="10164382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'Analyse 260430(V2)'!$Y$1</c15:sqref>
                        </c15:formulaRef>
                      </c:ext>
                    </c:extLst>
                    <c:strCache>
                      <c:ptCount val="1"/>
                      <c:pt idx="0">
                        <c:v>HeureDeDebut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'Analyse 260430(V2)'!$Y$23:$Y$27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11</c:v>
                      </c:pt>
                      <c:pt idx="2">
                        <c:v>13</c:v>
                      </c:pt>
                      <c:pt idx="3">
                        <c:v>15</c:v>
                      </c:pt>
                      <c:pt idx="4">
                        <c:v>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'Analyse 260430(V2)'!$Y$2:$Y$10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</c:v>
                      </c:pt>
                      <c:pt idx="1">
                        <c:v>8</c:v>
                      </c:pt>
                      <c:pt idx="2">
                        <c:v>9</c:v>
                      </c:pt>
                      <c:pt idx="3">
                        <c:v>11</c:v>
                      </c:pt>
                      <c:pt idx="4">
                        <c:v>12</c:v>
                      </c:pt>
                      <c:pt idx="5">
                        <c:v>13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C67-4D69-BE64-40C921DC4C0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'Analyse 260430(V2)'!$Z$1</c15:sqref>
                        </c15:formulaRef>
                      </c:ext>
                    </c:extLst>
                    <c:strCache>
                      <c:ptCount val="1"/>
                      <c:pt idx="0">
                        <c:v>Annee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'Analyse 260430(V2)'!$Y$23:$Y$27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11</c:v>
                      </c:pt>
                      <c:pt idx="2">
                        <c:v>13</c:v>
                      </c:pt>
                      <c:pt idx="3">
                        <c:v>15</c:v>
                      </c:pt>
                      <c:pt idx="4">
                        <c:v>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'Analyse 260430(V2)'!$Z$2:$Z$10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2024</c:v>
                      </c:pt>
                      <c:pt idx="1">
                        <c:v>2024</c:v>
                      </c:pt>
                      <c:pt idx="2">
                        <c:v>2024</c:v>
                      </c:pt>
                      <c:pt idx="3">
                        <c:v>2024</c:v>
                      </c:pt>
                      <c:pt idx="4">
                        <c:v>2024</c:v>
                      </c:pt>
                      <c:pt idx="5">
                        <c:v>2024</c:v>
                      </c:pt>
                      <c:pt idx="6">
                        <c:v>2024</c:v>
                      </c:pt>
                      <c:pt idx="7">
                        <c:v>2024</c:v>
                      </c:pt>
                      <c:pt idx="8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C67-4D69-BE64-40C921DC4C07}"/>
                  </c:ext>
                </c:extLst>
              </c15:ser>
            </c15:filteredBarSeries>
          </c:ext>
        </c:extLst>
      </c:barChart>
      <c:catAx>
        <c:axId val="10164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 de début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8200"/>
        <c:crosses val="autoZero"/>
        <c:auto val="1"/>
        <c:lblAlgn val="ctr"/>
        <c:lblOffset val="100"/>
        <c:noMultiLvlLbl val="0"/>
      </c:catAx>
      <c:valAx>
        <c:axId val="101643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du nombre de test selon par statut de fin et par heure les lundis de 2024, </a:t>
            </a:r>
            <a:r>
              <a:rPr lang="fr-F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(Modules V2 banc B1)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'Analyse 260430(V2)'!$AN$1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260430(V2)'!$AL$2:$AL$10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260430(V2)'!$AN$2:$AN$10</c:f>
              <c:numCache>
                <c:formatCode>General</c:formatCode>
                <c:ptCount val="9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D-43F4-BA63-69468E9642E8}"/>
            </c:ext>
          </c:extLst>
        </c:ser>
        <c:ser>
          <c:idx val="3"/>
          <c:order val="1"/>
          <c:tx>
            <c:strRef>
              <c:f>'Analyse 260430(V2)'!$AO$1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260430(V2)'!$AL$2:$AL$10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260430(V2)'!$AO$2:$AO$10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D-43F4-BA63-69468E9642E8}"/>
            </c:ext>
          </c:extLst>
        </c:ser>
        <c:ser>
          <c:idx val="4"/>
          <c:order val="2"/>
          <c:tx>
            <c:strRef>
              <c:f>'Analyse 260430(V2)'!$AP$1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260430(V2)'!$AL$2:$AL$10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260430(V2)'!$AP$2:$AP$10</c:f>
              <c:numCache>
                <c:formatCode>General</c:formatCode>
                <c:ptCount val="9"/>
                <c:pt idx="0">
                  <c:v>6</c:v>
                </c:pt>
                <c:pt idx="1">
                  <c:v>16</c:v>
                </c:pt>
                <c:pt idx="2">
                  <c:v>17</c:v>
                </c:pt>
                <c:pt idx="3">
                  <c:v>9</c:v>
                </c:pt>
                <c:pt idx="4">
                  <c:v>19</c:v>
                </c:pt>
                <c:pt idx="5">
                  <c:v>14</c:v>
                </c:pt>
                <c:pt idx="6">
                  <c:v>16</c:v>
                </c:pt>
                <c:pt idx="7">
                  <c:v>19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D-43F4-BA63-69468E9642E8}"/>
            </c:ext>
          </c:extLst>
        </c:ser>
        <c:ser>
          <c:idx val="5"/>
          <c:order val="3"/>
          <c:tx>
            <c:strRef>
              <c:f>'Analyse 260430(V2)'!$AQ$1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260430(V2)'!$AL$2:$AL$10</c:f>
              <c:numCache>
                <c:formatCode>General</c:formatCode>
                <c:ptCount val="9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</c:numCache>
            </c:numRef>
          </c:cat>
          <c:val>
            <c:numRef>
              <c:f>'Analyse 260430(V2)'!$AQ$2:$AQ$10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3D-43F4-BA63-69468E964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437840"/>
        <c:axId val="1016438200"/>
        <c:extLst/>
      </c:barChart>
      <c:catAx>
        <c:axId val="10164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 de début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8200"/>
        <c:crosses val="autoZero"/>
        <c:auto val="1"/>
        <c:lblAlgn val="ctr"/>
        <c:lblOffset val="100"/>
        <c:noMultiLvlLbl val="0"/>
      </c:catAx>
      <c:valAx>
        <c:axId val="101643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du nombre de test selon par statut de fin et par heure les lundis de 2025, </a:t>
            </a:r>
            <a:r>
              <a:rPr lang="fr-F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(Modules V2 banc B1)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'Analyse 260430(V2)'!$AN$1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260430(V2)'!$AL$12:$AL$17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cat>
          <c:val>
            <c:numRef>
              <c:f>'Analyse 260430(V2)'!$AN$12:$AN$17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7-4CF1-9C8C-DE0DDFA503F1}"/>
            </c:ext>
          </c:extLst>
        </c:ser>
        <c:ser>
          <c:idx val="3"/>
          <c:order val="1"/>
          <c:tx>
            <c:strRef>
              <c:f>'Analyse 260430(V2)'!$AO$1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260430(V2)'!$AL$12:$AL$17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cat>
          <c:val>
            <c:numRef>
              <c:f>'Analyse 260430(V2)'!$AO$12:$AO$17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7-4CF1-9C8C-DE0DDFA503F1}"/>
            </c:ext>
          </c:extLst>
        </c:ser>
        <c:ser>
          <c:idx val="4"/>
          <c:order val="2"/>
          <c:tx>
            <c:strRef>
              <c:f>'Analyse 260430(V2)'!$AP$1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260430(V2)'!$AL$12:$AL$17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cat>
          <c:val>
            <c:numRef>
              <c:f>'Analyse 260430(V2)'!$AP$12:$AP$17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57-4CF1-9C8C-DE0DDFA503F1}"/>
            </c:ext>
          </c:extLst>
        </c:ser>
        <c:ser>
          <c:idx val="5"/>
          <c:order val="3"/>
          <c:tx>
            <c:strRef>
              <c:f>'Analyse 260430(V2)'!$AQ$1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260430(V2)'!$AL$12:$AL$17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14</c:v>
                </c:pt>
              </c:numCache>
            </c:numRef>
          </c:cat>
          <c:val>
            <c:numRef>
              <c:f>'Analyse 260430(V2)'!$AQ$12:$AQ$17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57-4CF1-9C8C-DE0DDFA50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437840"/>
        <c:axId val="1016438200"/>
        <c:extLst/>
      </c:barChart>
      <c:catAx>
        <c:axId val="10164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 de début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8200"/>
        <c:crosses val="autoZero"/>
        <c:auto val="1"/>
        <c:lblAlgn val="ctr"/>
        <c:lblOffset val="100"/>
        <c:noMultiLvlLbl val="0"/>
      </c:catAx>
      <c:valAx>
        <c:axId val="101643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Distribution</a:t>
            </a:r>
            <a:r>
              <a:rPr lang="fr-FR" baseline="0"/>
              <a:t> du nombre de test selon par statut de fin et par heure les lundis de 2026, </a:t>
            </a:r>
            <a:r>
              <a:rPr lang="fr-F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(Modules V2 banc B1)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'Analyse 260430(V2)'!$AN$1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'Analyse 260430(V2)'!$AL$19:$AL$24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</c:numCache>
            </c:numRef>
          </c:cat>
          <c:val>
            <c:numRef>
              <c:f>'Analyse 260430(V2)'!$AN$19:$AN$24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8-4CE7-8838-2042DB944E6A}"/>
            </c:ext>
          </c:extLst>
        </c:ser>
        <c:ser>
          <c:idx val="3"/>
          <c:order val="1"/>
          <c:tx>
            <c:strRef>
              <c:f>'Analyse 260430(V2)'!$AO$1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'Analyse 260430(V2)'!$AL$19:$AL$24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</c:numCache>
            </c:numRef>
          </c:cat>
          <c:val>
            <c:numRef>
              <c:f>'Analyse 260430(V2)'!$AO$19:$AO$24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8-4CE7-8838-2042DB944E6A}"/>
            </c:ext>
          </c:extLst>
        </c:ser>
        <c:ser>
          <c:idx val="4"/>
          <c:order val="2"/>
          <c:tx>
            <c:strRef>
              <c:f>'Analyse 260430(V2)'!$AP$1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'Analyse 260430(V2)'!$AL$19:$AL$24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</c:numCache>
            </c:numRef>
          </c:cat>
          <c:val>
            <c:numRef>
              <c:f>'Analyse 260430(V2)'!$AP$19:$AP$24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78-4CE7-8838-2042DB944E6A}"/>
            </c:ext>
          </c:extLst>
        </c:ser>
        <c:ser>
          <c:idx val="5"/>
          <c:order val="3"/>
          <c:tx>
            <c:strRef>
              <c:f>'Analyse 260430(V2)'!$AQ$1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'Analyse 260430(V2)'!$AL$19:$AL$24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15</c:v>
                </c:pt>
              </c:numCache>
            </c:numRef>
          </c:cat>
          <c:val>
            <c:numRef>
              <c:f>'Analyse 260430(V2)'!$AQ$19:$AQ$24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78-4CE7-8838-2042DB944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437840"/>
        <c:axId val="1016438200"/>
        <c:extLst/>
      </c:barChart>
      <c:catAx>
        <c:axId val="101643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 de début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8200"/>
        <c:crosses val="autoZero"/>
        <c:auto val="1"/>
        <c:lblAlgn val="ctr"/>
        <c:lblOffset val="100"/>
        <c:noMultiLvlLbl val="0"/>
      </c:catAx>
      <c:valAx>
        <c:axId val="101643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Nombre de 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643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22860</xdr:colOff>
      <xdr:row>41</xdr:row>
      <xdr:rowOff>34290</xdr:rowOff>
    </xdr:from>
    <xdr:to>
      <xdr:col>25</xdr:col>
      <xdr:colOff>63500</xdr:colOff>
      <xdr:row>55</xdr:row>
      <xdr:rowOff>34925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2C8008D-B315-AF38-33BF-5CE1BF217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275590</xdr:colOff>
      <xdr:row>50</xdr:row>
      <xdr:rowOff>64929</xdr:rowOff>
    </xdr:from>
    <xdr:to>
      <xdr:col>26</xdr:col>
      <xdr:colOff>684530</xdr:colOff>
      <xdr:row>64</xdr:row>
      <xdr:rowOff>97632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68E19CC-4E93-FEDC-1EEE-B9172457E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220988</xdr:colOff>
      <xdr:row>0</xdr:row>
      <xdr:rowOff>54132</xdr:rowOff>
    </xdr:from>
    <xdr:to>
      <xdr:col>36</xdr:col>
      <xdr:colOff>220988</xdr:colOff>
      <xdr:row>14</xdr:row>
      <xdr:rowOff>15714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E19C649-76BE-ECEF-3C35-AA6931BB5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261938</xdr:colOff>
      <xdr:row>14</xdr:row>
      <xdr:rowOff>71437</xdr:rowOff>
    </xdr:from>
    <xdr:to>
      <xdr:col>36</xdr:col>
      <xdr:colOff>261938</xdr:colOff>
      <xdr:row>28</xdr:row>
      <xdr:rowOff>25082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33B0896-ABA5-4C54-8064-80BACDD24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29</xdr:row>
      <xdr:rowOff>0</xdr:rowOff>
    </xdr:from>
    <xdr:to>
      <xdr:col>36</xdr:col>
      <xdr:colOff>0</xdr:colOff>
      <xdr:row>42</xdr:row>
      <xdr:rowOff>152082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E839659-D526-4E81-8258-507A99E6D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43</xdr:col>
      <xdr:colOff>206375</xdr:colOff>
      <xdr:row>0</xdr:row>
      <xdr:rowOff>31750</xdr:rowOff>
    </xdr:from>
    <xdr:to>
      <xdr:col>49</xdr:col>
      <xdr:colOff>206375</xdr:colOff>
      <xdr:row>13</xdr:row>
      <xdr:rowOff>189865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A8B993D-7E53-444F-896A-0AFB14695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0</xdr:colOff>
      <xdr:row>15</xdr:row>
      <xdr:rowOff>0</xdr:rowOff>
    </xdr:from>
    <xdr:to>
      <xdr:col>49</xdr:col>
      <xdr:colOff>0</xdr:colOff>
      <xdr:row>28</xdr:row>
      <xdr:rowOff>148272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E7610C3-ED83-42F4-B483-C79C8EE88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0</xdr:colOff>
      <xdr:row>30</xdr:row>
      <xdr:rowOff>0</xdr:rowOff>
    </xdr:from>
    <xdr:to>
      <xdr:col>49</xdr:col>
      <xdr:colOff>0</xdr:colOff>
      <xdr:row>43</xdr:row>
      <xdr:rowOff>148273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A5587DE9-EF38-435E-B9CF-DB84FCAE2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2B6C-0551-4CEA-8EC6-432373B8040B}">
  <dimension ref="A1:Y65"/>
  <sheetViews>
    <sheetView tabSelected="1" zoomScale="41" zoomScaleNormal="41" workbookViewId="0">
      <selection activeCell="AD46" sqref="AD46"/>
    </sheetView>
  </sheetViews>
  <sheetFormatPr baseColWidth="10" defaultRowHeight="15" x14ac:dyDescent="0.25"/>
  <cols>
    <col min="1" max="1" width="30.85546875" bestFit="1" customWidth="1"/>
    <col min="2" max="2" width="12" bestFit="1" customWidth="1"/>
    <col min="10" max="10" width="12" bestFit="1" customWidth="1"/>
    <col min="14" max="14" width="12" bestFit="1" customWidth="1"/>
    <col min="21" max="21" width="11" customWidth="1"/>
    <col min="22" max="22" width="11.42578125" hidden="1" customWidth="1"/>
    <col min="23" max="23" width="12.7109375" customWidth="1"/>
    <col min="24" max="24" width="25.28515625" customWidth="1"/>
  </cols>
  <sheetData>
    <row r="1" spans="1:25" x14ac:dyDescent="0.25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R1" s="54" t="s">
        <v>36</v>
      </c>
      <c r="S1" s="54" t="s">
        <v>37</v>
      </c>
      <c r="T1" s="54" t="s">
        <v>38</v>
      </c>
      <c r="U1" s="54" t="s">
        <v>39</v>
      </c>
      <c r="V1" s="54" t="s">
        <v>40</v>
      </c>
      <c r="W1" s="54" t="s">
        <v>40</v>
      </c>
      <c r="X1" s="34"/>
      <c r="Y1" s="34"/>
    </row>
    <row r="2" spans="1:25" ht="15.75" thickBot="1" x14ac:dyDescent="0.3">
      <c r="A2" s="10" t="s">
        <v>7</v>
      </c>
      <c r="R2" s="55">
        <v>0</v>
      </c>
      <c r="S2" s="55">
        <v>45</v>
      </c>
      <c r="T2" s="55">
        <v>18</v>
      </c>
      <c r="U2" s="55">
        <v>33</v>
      </c>
      <c r="V2" s="55">
        <v>1</v>
      </c>
      <c r="W2" s="55">
        <v>1</v>
      </c>
      <c r="X2" s="32"/>
      <c r="Y2" s="33"/>
    </row>
    <row r="3" spans="1:25" ht="15.75" thickBot="1" x14ac:dyDescent="0.3">
      <c r="A3" s="1" t="s">
        <v>0</v>
      </c>
      <c r="B3" s="2">
        <v>2020</v>
      </c>
      <c r="C3" s="2">
        <v>2021</v>
      </c>
      <c r="D3" s="2">
        <v>2022</v>
      </c>
      <c r="E3" s="2">
        <v>2023</v>
      </c>
      <c r="F3" s="2">
        <v>2024</v>
      </c>
      <c r="G3" s="2">
        <v>2025</v>
      </c>
      <c r="H3" s="2">
        <v>2026</v>
      </c>
      <c r="I3" s="6" t="s">
        <v>5</v>
      </c>
      <c r="M3" s="31"/>
      <c r="R3" s="55">
        <v>0</v>
      </c>
      <c r="S3" s="55">
        <v>104</v>
      </c>
      <c r="T3" s="55">
        <v>1412</v>
      </c>
      <c r="U3" s="55">
        <v>4</v>
      </c>
      <c r="V3" s="55">
        <v>2</v>
      </c>
      <c r="W3" s="55">
        <v>2</v>
      </c>
      <c r="X3" s="32"/>
      <c r="Y3" s="33"/>
    </row>
    <row r="4" spans="1:25" ht="15.75" thickBot="1" x14ac:dyDescent="0.3">
      <c r="A4" s="3" t="s">
        <v>18</v>
      </c>
      <c r="B4" s="4">
        <v>184</v>
      </c>
      <c r="C4" s="4">
        <v>207</v>
      </c>
      <c r="D4" s="4">
        <v>40</v>
      </c>
      <c r="E4" s="4">
        <v>80</v>
      </c>
      <c r="F4" s="4">
        <v>206</v>
      </c>
      <c r="G4" s="4">
        <v>44</v>
      </c>
      <c r="H4" s="4">
        <v>63</v>
      </c>
      <c r="I4" s="7">
        <f>E4+F4+G4+H4+B4+C4+D4</f>
        <v>824</v>
      </c>
      <c r="M4" s="31"/>
      <c r="R4" s="55">
        <v>0</v>
      </c>
      <c r="S4" s="55">
        <v>35</v>
      </c>
      <c r="T4" s="55">
        <v>23</v>
      </c>
      <c r="U4" s="55">
        <v>20</v>
      </c>
      <c r="V4" s="55">
        <v>3</v>
      </c>
      <c r="W4" s="55">
        <v>3</v>
      </c>
      <c r="X4" s="32"/>
      <c r="Y4" s="33"/>
    </row>
    <row r="5" spans="1:25" ht="15.75" thickBot="1" x14ac:dyDescent="0.3">
      <c r="A5" s="23" t="s">
        <v>19</v>
      </c>
      <c r="B5" s="36">
        <v>184</v>
      </c>
      <c r="C5" s="36">
        <v>187</v>
      </c>
      <c r="D5" s="36">
        <v>40</v>
      </c>
      <c r="E5" s="36">
        <v>76</v>
      </c>
      <c r="F5" s="36">
        <v>198</v>
      </c>
      <c r="G5" s="36">
        <v>39</v>
      </c>
      <c r="H5" s="36">
        <v>49</v>
      </c>
      <c r="I5" s="7">
        <f>E5+F5+G5+H5+D5+C5+B5</f>
        <v>773</v>
      </c>
      <c r="J5">
        <f>I5</f>
        <v>773</v>
      </c>
      <c r="M5" s="31"/>
      <c r="R5" s="55">
        <v>0</v>
      </c>
      <c r="S5" s="55">
        <v>0</v>
      </c>
      <c r="T5" s="55">
        <v>6</v>
      </c>
      <c r="U5" s="55">
        <v>2</v>
      </c>
      <c r="V5" s="55">
        <v>4</v>
      </c>
      <c r="W5" s="55">
        <v>4</v>
      </c>
      <c r="X5" s="32"/>
      <c r="Y5" s="33"/>
    </row>
    <row r="6" spans="1:25" ht="15.75" thickBot="1" x14ac:dyDescent="0.3">
      <c r="A6" s="25" t="s">
        <v>15</v>
      </c>
      <c r="B6" s="4">
        <v>181</v>
      </c>
      <c r="C6" s="4">
        <v>161</v>
      </c>
      <c r="D6" s="4">
        <v>40</v>
      </c>
      <c r="E6" s="4">
        <v>71</v>
      </c>
      <c r="F6" s="4">
        <v>183</v>
      </c>
      <c r="G6" s="4">
        <v>18</v>
      </c>
      <c r="H6" s="4">
        <v>47</v>
      </c>
      <c r="I6" s="7">
        <f>B6+C6+D6+E6+F6+G6+H6</f>
        <v>701</v>
      </c>
      <c r="J6" s="9">
        <f>I6/I5</f>
        <v>0.90685640362225095</v>
      </c>
      <c r="R6" s="55">
        <v>0</v>
      </c>
      <c r="S6" s="55">
        <v>0</v>
      </c>
      <c r="T6" s="55">
        <v>3</v>
      </c>
      <c r="U6" s="55">
        <v>0</v>
      </c>
      <c r="V6" s="55">
        <v>5</v>
      </c>
      <c r="W6" s="55">
        <v>5</v>
      </c>
      <c r="X6" s="32"/>
      <c r="Y6" s="33"/>
    </row>
    <row r="7" spans="1:25" ht="15.75" thickBot="1" x14ac:dyDescent="0.3">
      <c r="A7" s="26" t="s">
        <v>16</v>
      </c>
      <c r="B7" s="36">
        <f t="shared" ref="B7" si="0">B5-B6</f>
        <v>3</v>
      </c>
      <c r="C7" s="36">
        <f>C5-C6</f>
        <v>26</v>
      </c>
      <c r="D7" s="36">
        <f>D5-D6</f>
        <v>0</v>
      </c>
      <c r="E7" s="36">
        <f t="shared" ref="E7" si="1">E5-E6</f>
        <v>5</v>
      </c>
      <c r="F7" s="36">
        <f>F5-F6</f>
        <v>15</v>
      </c>
      <c r="G7" s="36">
        <f>G5-G6</f>
        <v>21</v>
      </c>
      <c r="H7" s="36">
        <f>H5-H6</f>
        <v>2</v>
      </c>
      <c r="I7" s="7">
        <f>B7+C7+D7+E7+F7+G7+H7</f>
        <v>72</v>
      </c>
      <c r="J7" s="9">
        <f>I7/I5</f>
        <v>9.3143596377749036E-2</v>
      </c>
      <c r="R7" s="55">
        <v>0</v>
      </c>
      <c r="S7" s="55">
        <v>7</v>
      </c>
      <c r="T7" s="55">
        <v>1</v>
      </c>
      <c r="U7" s="55">
        <v>0</v>
      </c>
      <c r="V7" s="55">
        <v>6</v>
      </c>
      <c r="W7" s="55">
        <v>6</v>
      </c>
      <c r="X7" s="32"/>
      <c r="Y7" s="33"/>
    </row>
    <row r="8" spans="1:25" ht="15.75" thickBot="1" x14ac:dyDescent="0.3">
      <c r="A8" s="3" t="s">
        <v>17</v>
      </c>
      <c r="B8" s="30">
        <v>0</v>
      </c>
      <c r="C8" s="30">
        <v>0.10695</v>
      </c>
      <c r="D8" s="30">
        <v>0</v>
      </c>
      <c r="E8" s="30">
        <v>0.61839999999999995</v>
      </c>
      <c r="F8" s="30">
        <v>0.91410000000000002</v>
      </c>
      <c r="G8" s="30">
        <v>1</v>
      </c>
      <c r="H8" s="30">
        <v>1</v>
      </c>
      <c r="I8" s="7"/>
      <c r="R8" s="55">
        <v>0</v>
      </c>
      <c r="S8" s="55">
        <v>2</v>
      </c>
      <c r="T8" s="55">
        <v>4</v>
      </c>
      <c r="U8" s="55">
        <v>0</v>
      </c>
      <c r="V8" s="55">
        <v>7</v>
      </c>
      <c r="W8" s="55">
        <v>7</v>
      </c>
      <c r="X8" s="32"/>
      <c r="Y8" s="33"/>
    </row>
    <row r="9" spans="1:25" ht="15.75" thickBot="1" x14ac:dyDescent="0.3">
      <c r="A9" s="24" t="s">
        <v>28</v>
      </c>
      <c r="B9" s="38">
        <v>2.657</v>
      </c>
      <c r="C9" s="38">
        <v>2.6080000000000001</v>
      </c>
      <c r="D9" s="38">
        <v>2.5</v>
      </c>
      <c r="E9" s="38">
        <v>5.0199999999999996</v>
      </c>
      <c r="F9" s="38">
        <v>4.8099999999999996</v>
      </c>
      <c r="G9" s="38">
        <v>4.83</v>
      </c>
      <c r="H9" s="38">
        <v>3.9140000000000001</v>
      </c>
      <c r="I9" s="8">
        <f>AVERAGE(E9:H9)</f>
        <v>4.6434999999999995</v>
      </c>
      <c r="M9" t="s">
        <v>27</v>
      </c>
      <c r="R9" s="55">
        <v>0</v>
      </c>
      <c r="S9" s="55">
        <v>1</v>
      </c>
      <c r="T9" s="55">
        <v>0</v>
      </c>
      <c r="U9" s="55">
        <v>0</v>
      </c>
      <c r="V9" s="55">
        <v>8</v>
      </c>
      <c r="W9" s="55">
        <v>8</v>
      </c>
      <c r="X9" s="32"/>
      <c r="Y9" s="33"/>
    </row>
    <row r="10" spans="1:25" ht="15.75" thickBot="1" x14ac:dyDescent="0.3">
      <c r="A10" s="24" t="s">
        <v>29</v>
      </c>
      <c r="B10" s="4">
        <v>1</v>
      </c>
      <c r="C10" s="4">
        <v>1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8">
        <f>AVERAGE(B10:H10)</f>
        <v>2.4285714285714284</v>
      </c>
      <c r="M10" s="22" t="s">
        <v>26</v>
      </c>
      <c r="R10" s="55">
        <v>0</v>
      </c>
      <c r="S10" s="55">
        <v>12</v>
      </c>
      <c r="T10" s="55">
        <v>2</v>
      </c>
      <c r="U10" s="55">
        <v>20</v>
      </c>
      <c r="V10" s="55">
        <v>9</v>
      </c>
      <c r="W10" s="55">
        <v>9</v>
      </c>
      <c r="X10" s="32"/>
      <c r="Y10" s="33"/>
    </row>
    <row r="11" spans="1:25" ht="15.75" thickBot="1" x14ac:dyDescent="0.3">
      <c r="A11" s="24" t="s">
        <v>34</v>
      </c>
      <c r="B11" s="36">
        <v>0.95499999999999996</v>
      </c>
      <c r="C11" s="36">
        <v>2.13</v>
      </c>
      <c r="D11" s="36">
        <v>2.2069999999999999</v>
      </c>
      <c r="E11" s="36">
        <v>3.5950000000000002</v>
      </c>
      <c r="F11" s="36">
        <v>3.7789999999999999</v>
      </c>
      <c r="G11" s="36">
        <v>3.6644999999999999</v>
      </c>
      <c r="H11" s="36">
        <v>3.5419999999999998</v>
      </c>
      <c r="I11" s="8"/>
      <c r="M11" t="s">
        <v>25</v>
      </c>
      <c r="R11" s="55">
        <v>0</v>
      </c>
      <c r="S11" s="55">
        <v>14</v>
      </c>
      <c r="T11" s="55">
        <v>0</v>
      </c>
      <c r="U11" s="55">
        <v>112</v>
      </c>
      <c r="V11" s="55">
        <v>10</v>
      </c>
      <c r="W11" s="55">
        <v>10</v>
      </c>
      <c r="X11" s="32"/>
      <c r="Y11" s="33"/>
    </row>
    <row r="12" spans="1:25" ht="15.75" thickBot="1" x14ac:dyDescent="0.3">
      <c r="A12" s="23" t="s">
        <v>20</v>
      </c>
      <c r="B12" s="4">
        <v>534</v>
      </c>
      <c r="C12" s="4">
        <v>572</v>
      </c>
      <c r="D12" s="4">
        <v>110</v>
      </c>
      <c r="E12" s="4">
        <v>606</v>
      </c>
      <c r="F12" s="4">
        <v>1049</v>
      </c>
      <c r="G12" s="4">
        <v>182</v>
      </c>
      <c r="H12" s="4">
        <v>193</v>
      </c>
      <c r="I12" s="7">
        <f>E12+F12+G12+H12+D12+C12+B12</f>
        <v>3246</v>
      </c>
      <c r="J12" s="9">
        <f>I6/I12</f>
        <v>0.21595810227972889</v>
      </c>
      <c r="R12" s="55">
        <v>0</v>
      </c>
      <c r="S12" s="55">
        <v>1</v>
      </c>
      <c r="T12" s="55">
        <v>3</v>
      </c>
      <c r="U12" s="55">
        <v>0</v>
      </c>
      <c r="V12" s="55">
        <v>11</v>
      </c>
      <c r="W12" s="55">
        <v>11</v>
      </c>
      <c r="X12" s="32"/>
      <c r="Y12" s="33"/>
    </row>
    <row r="13" spans="1:25" ht="15.75" thickBot="1" x14ac:dyDescent="0.3">
      <c r="A13" s="28" t="s">
        <v>21</v>
      </c>
      <c r="B13" s="47">
        <v>0.36142322097378277</v>
      </c>
      <c r="C13" s="47">
        <v>0.32167832167832167</v>
      </c>
      <c r="D13" s="47">
        <v>0.37272727272727274</v>
      </c>
      <c r="E13" s="47">
        <v>0.20297029702970298</v>
      </c>
      <c r="F13" s="47">
        <v>0.15347950428979981</v>
      </c>
      <c r="G13" s="47">
        <v>9.3406593406593408E-2</v>
      </c>
      <c r="H13" s="47">
        <v>0.25388601036269431</v>
      </c>
      <c r="I13" s="37">
        <f>AVERAGE($B13:$H13)</f>
        <v>0.25136731720973821</v>
      </c>
      <c r="J13" s="31"/>
      <c r="R13" s="55">
        <v>0</v>
      </c>
      <c r="S13" s="55">
        <v>0</v>
      </c>
      <c r="T13" s="55">
        <v>4</v>
      </c>
      <c r="U13" s="55">
        <v>0</v>
      </c>
      <c r="V13" s="55">
        <v>12</v>
      </c>
      <c r="W13" s="55">
        <v>12</v>
      </c>
      <c r="X13" s="32"/>
      <c r="Y13" s="33"/>
    </row>
    <row r="14" spans="1:25" ht="15.75" thickBot="1" x14ac:dyDescent="0.3">
      <c r="A14" s="29" t="s">
        <v>22</v>
      </c>
      <c r="B14" s="30">
        <v>0.15355805243445692</v>
      </c>
      <c r="C14" s="30">
        <v>0.15734265734265734</v>
      </c>
      <c r="D14" s="30">
        <v>9.0909090909090912E-2</v>
      </c>
      <c r="E14" s="30">
        <v>0.11881188118811881</v>
      </c>
      <c r="F14" s="30">
        <v>6.2917063870352716E-2</v>
      </c>
      <c r="G14" s="30">
        <v>0.14285714285714285</v>
      </c>
      <c r="H14" s="30">
        <v>2.5906735751295335E-2</v>
      </c>
      <c r="I14" s="37">
        <f t="shared" ref="I14:I16" si="2">AVERAGE($B14:$H14)</f>
        <v>0.10747180347901641</v>
      </c>
      <c r="J14" s="31"/>
      <c r="R14" s="55">
        <v>0</v>
      </c>
      <c r="S14" s="55">
        <v>3</v>
      </c>
      <c r="T14" s="55">
        <v>16</v>
      </c>
      <c r="U14" s="55">
        <v>0</v>
      </c>
      <c r="V14" s="55">
        <v>13</v>
      </c>
      <c r="W14" s="55">
        <v>13</v>
      </c>
      <c r="X14" s="32"/>
      <c r="Y14" s="33"/>
    </row>
    <row r="15" spans="1:25" ht="15.75" thickBot="1" x14ac:dyDescent="0.3">
      <c r="A15" s="27" t="s">
        <v>23</v>
      </c>
      <c r="B15" s="47">
        <v>0.42134831460674155</v>
      </c>
      <c r="C15" s="47">
        <v>0.41783216783216781</v>
      </c>
      <c r="D15" s="47">
        <v>0.49090909090909091</v>
      </c>
      <c r="E15" s="47">
        <v>0.62376237623762376</v>
      </c>
      <c r="F15" s="47">
        <v>0.68541468064823641</v>
      </c>
      <c r="G15" s="47">
        <v>0.65384615384615385</v>
      </c>
      <c r="H15" s="47">
        <v>0.68393782383419688</v>
      </c>
      <c r="I15" s="37">
        <f t="shared" si="2"/>
        <v>0.56815008684488733</v>
      </c>
      <c r="J15" s="31"/>
      <c r="R15" s="55">
        <v>0</v>
      </c>
      <c r="S15" s="55">
        <v>0</v>
      </c>
      <c r="T15" s="55">
        <v>40</v>
      </c>
      <c r="U15" s="55">
        <v>0</v>
      </c>
      <c r="V15" s="55">
        <v>14</v>
      </c>
      <c r="W15" s="55">
        <v>14</v>
      </c>
      <c r="X15" s="32"/>
      <c r="Y15" s="33"/>
    </row>
    <row r="16" spans="1:25" ht="15.75" thickBot="1" x14ac:dyDescent="0.3">
      <c r="A16" s="21" t="s">
        <v>24</v>
      </c>
      <c r="B16" s="30">
        <v>6.3670411985018729E-2</v>
      </c>
      <c r="C16" s="30">
        <v>0.10314685314685315</v>
      </c>
      <c r="D16" s="30">
        <v>4.5454545454545456E-2</v>
      </c>
      <c r="E16" s="30">
        <v>5.4455445544554455E-2</v>
      </c>
      <c r="F16" s="30">
        <v>9.8188751191611065E-2</v>
      </c>
      <c r="G16" s="30">
        <v>0.10989010989010989</v>
      </c>
      <c r="H16" s="30">
        <v>3.6269430051813469E-2</v>
      </c>
      <c r="I16" s="37">
        <f t="shared" si="2"/>
        <v>7.3010792466358027E-2</v>
      </c>
      <c r="J16" s="31"/>
      <c r="R16" s="55">
        <v>0</v>
      </c>
      <c r="S16" s="55">
        <v>0</v>
      </c>
      <c r="T16" s="55">
        <v>5</v>
      </c>
      <c r="U16" s="55">
        <v>1</v>
      </c>
      <c r="V16" s="55">
        <v>15</v>
      </c>
      <c r="W16" s="55">
        <v>15</v>
      </c>
      <c r="X16" s="32"/>
      <c r="Y16" s="33"/>
    </row>
    <row r="17" spans="1:25" ht="15.75" thickBot="1" x14ac:dyDescent="0.3">
      <c r="A17" s="21" t="s">
        <v>30</v>
      </c>
      <c r="B17" s="36">
        <v>2</v>
      </c>
      <c r="C17" s="36">
        <v>12</v>
      </c>
      <c r="D17" s="36">
        <v>0</v>
      </c>
      <c r="E17" s="36">
        <v>5</v>
      </c>
      <c r="F17" s="36">
        <v>2</v>
      </c>
      <c r="G17" s="36">
        <v>4</v>
      </c>
      <c r="H17" s="36">
        <v>0</v>
      </c>
      <c r="I17" s="8">
        <f>AVERAGE(B17:H17)</f>
        <v>3.5714285714285716</v>
      </c>
      <c r="R17" s="55">
        <v>0</v>
      </c>
      <c r="S17" s="55">
        <v>0</v>
      </c>
      <c r="T17" s="55">
        <v>12</v>
      </c>
      <c r="U17" s="55">
        <v>37</v>
      </c>
      <c r="V17" s="55">
        <v>16</v>
      </c>
      <c r="W17" s="55">
        <v>16</v>
      </c>
      <c r="X17" s="32"/>
      <c r="Y17" s="33"/>
    </row>
    <row r="18" spans="1:25" ht="15.75" thickBot="1" x14ac:dyDescent="0.3">
      <c r="A18" s="21" t="s">
        <v>33</v>
      </c>
      <c r="B18" s="30">
        <v>3.6999999999999998E-2</v>
      </c>
      <c r="C18" s="30">
        <v>0.18459999999999999</v>
      </c>
      <c r="D18" s="30">
        <v>0</v>
      </c>
      <c r="E18" s="30">
        <v>0.13150000000000001</v>
      </c>
      <c r="F18" s="30">
        <v>2.3300000000000001E-2</v>
      </c>
      <c r="G18" s="30">
        <v>0.2666</v>
      </c>
      <c r="H18" s="30">
        <v>0</v>
      </c>
      <c r="I18" s="37">
        <f>AVERAGE(B18:H18)</f>
        <v>9.1857142857142859E-2</v>
      </c>
      <c r="R18" s="55">
        <v>0</v>
      </c>
      <c r="S18" s="55">
        <v>2</v>
      </c>
      <c r="T18" s="55">
        <v>35</v>
      </c>
      <c r="U18" s="55">
        <v>0</v>
      </c>
      <c r="V18" s="55">
        <v>17</v>
      </c>
      <c r="W18" s="55">
        <v>17</v>
      </c>
      <c r="X18" s="32"/>
      <c r="Y18" s="33"/>
    </row>
    <row r="19" spans="1:25" ht="15.75" thickBot="1" x14ac:dyDescent="0.3">
      <c r="A19" s="21" t="s">
        <v>31</v>
      </c>
      <c r="B19" s="36">
        <v>3</v>
      </c>
      <c r="C19" s="36">
        <v>4.75</v>
      </c>
      <c r="D19" s="36">
        <v>0.25</v>
      </c>
      <c r="E19" s="36">
        <v>2.75</v>
      </c>
      <c r="F19" s="36">
        <v>10.75</v>
      </c>
      <c r="G19" s="36">
        <v>1.75</v>
      </c>
      <c r="H19" s="36">
        <v>1</v>
      </c>
      <c r="I19" s="8">
        <f>AVERAGE(B19:H19)</f>
        <v>3.4642857142857144</v>
      </c>
      <c r="R19" s="55">
        <v>0</v>
      </c>
      <c r="S19" s="55">
        <v>0</v>
      </c>
      <c r="T19" s="55">
        <v>21</v>
      </c>
      <c r="U19" s="55">
        <v>1</v>
      </c>
      <c r="V19" s="55">
        <v>18</v>
      </c>
      <c r="W19" s="55">
        <v>18</v>
      </c>
      <c r="X19" s="32"/>
      <c r="Y19" s="33"/>
    </row>
    <row r="20" spans="1:25" ht="15.75" thickBot="1" x14ac:dyDescent="0.3">
      <c r="A20" s="21" t="s">
        <v>32</v>
      </c>
      <c r="B20" s="30">
        <v>5.9700000000000003E-2</v>
      </c>
      <c r="C20" s="30">
        <v>9.4049999999999995E-2</v>
      </c>
      <c r="D20" s="30">
        <v>2.9399999999999999E-2</v>
      </c>
      <c r="E20" s="30">
        <v>5.6399999999999999E-2</v>
      </c>
      <c r="F20" s="30">
        <v>0.11840000000000001</v>
      </c>
      <c r="G20" s="30">
        <v>0.1166</v>
      </c>
      <c r="H20" s="30">
        <v>3.8800000000000001E-2</v>
      </c>
      <c r="I20" s="37">
        <f>AVERAGE(B20:H20)</f>
        <v>7.3335714285714282E-2</v>
      </c>
      <c r="R20" s="55">
        <v>0</v>
      </c>
      <c r="S20" s="55">
        <v>0</v>
      </c>
      <c r="T20" s="55">
        <v>11</v>
      </c>
      <c r="U20" s="55">
        <v>0</v>
      </c>
      <c r="V20" s="55">
        <v>19</v>
      </c>
      <c r="W20" s="55">
        <v>19</v>
      </c>
      <c r="X20" s="32"/>
      <c r="Y20" s="33"/>
    </row>
    <row r="21" spans="1:25" ht="15.75" thickBot="1" x14ac:dyDescent="0.3">
      <c r="A21" s="10" t="s">
        <v>11</v>
      </c>
      <c r="R21" s="55">
        <v>0</v>
      </c>
      <c r="S21" s="55">
        <v>0</v>
      </c>
      <c r="T21" s="55">
        <v>14</v>
      </c>
      <c r="U21" s="55">
        <v>0</v>
      </c>
      <c r="V21" s="55">
        <v>20</v>
      </c>
      <c r="W21" s="55">
        <v>20</v>
      </c>
      <c r="X21" s="32"/>
      <c r="Y21" s="33"/>
    </row>
    <row r="22" spans="1:25" ht="15.75" thickBot="1" x14ac:dyDescent="0.3">
      <c r="A22" s="1" t="s">
        <v>0</v>
      </c>
      <c r="B22" s="2">
        <v>2020</v>
      </c>
      <c r="C22" s="2">
        <v>2021</v>
      </c>
      <c r="D22" s="2">
        <v>2022</v>
      </c>
      <c r="E22" s="2">
        <v>2023</v>
      </c>
      <c r="F22" s="2">
        <v>2024</v>
      </c>
      <c r="G22" s="2">
        <v>2025</v>
      </c>
      <c r="H22" s="2">
        <v>2026</v>
      </c>
      <c r="I22" s="6" t="s">
        <v>5</v>
      </c>
      <c r="R22" s="55">
        <v>0</v>
      </c>
      <c r="S22" s="55">
        <v>0</v>
      </c>
      <c r="T22" s="55">
        <v>3</v>
      </c>
      <c r="U22" s="55">
        <v>0</v>
      </c>
      <c r="V22" s="55">
        <v>21</v>
      </c>
      <c r="W22" s="55">
        <v>21</v>
      </c>
      <c r="X22" s="32"/>
      <c r="Y22" s="33"/>
    </row>
    <row r="23" spans="1:25" ht="15.75" thickBot="1" x14ac:dyDescent="0.3">
      <c r="A23" s="3" t="s">
        <v>18</v>
      </c>
      <c r="B23" s="4">
        <v>0</v>
      </c>
      <c r="C23" s="4">
        <v>0</v>
      </c>
      <c r="D23" s="4">
        <v>0</v>
      </c>
      <c r="E23" s="4">
        <v>0</v>
      </c>
      <c r="F23" s="4">
        <v>76</v>
      </c>
      <c r="G23" s="4">
        <v>311</v>
      </c>
      <c r="H23" s="4">
        <v>25</v>
      </c>
      <c r="I23" s="7">
        <f>E23+F23+G23+H23</f>
        <v>412</v>
      </c>
      <c r="R23" s="55">
        <v>0</v>
      </c>
      <c r="S23" s="55">
        <v>0</v>
      </c>
      <c r="T23" s="55">
        <v>49</v>
      </c>
      <c r="U23" s="55">
        <v>0</v>
      </c>
      <c r="V23" s="55">
        <v>22</v>
      </c>
      <c r="W23" s="55">
        <v>22</v>
      </c>
      <c r="X23" s="32"/>
      <c r="Y23" s="33"/>
    </row>
    <row r="24" spans="1:25" ht="15.75" thickBot="1" x14ac:dyDescent="0.3">
      <c r="A24" s="23" t="s">
        <v>19</v>
      </c>
      <c r="B24" s="36">
        <v>0</v>
      </c>
      <c r="C24" s="36">
        <v>0</v>
      </c>
      <c r="D24" s="36">
        <v>0</v>
      </c>
      <c r="E24" s="36">
        <v>0</v>
      </c>
      <c r="F24" s="36">
        <v>75</v>
      </c>
      <c r="G24" s="36">
        <v>310</v>
      </c>
      <c r="H24" s="36">
        <v>20</v>
      </c>
      <c r="I24" s="7">
        <f>E24+F24+G24+H24</f>
        <v>405</v>
      </c>
      <c r="J24">
        <f>I24</f>
        <v>405</v>
      </c>
      <c r="R24" s="55">
        <v>0</v>
      </c>
      <c r="S24" s="55">
        <v>0</v>
      </c>
      <c r="T24" s="55">
        <v>27</v>
      </c>
      <c r="U24" s="55">
        <v>0</v>
      </c>
      <c r="V24" s="55">
        <v>23</v>
      </c>
      <c r="W24" s="55">
        <v>23</v>
      </c>
      <c r="X24" s="32"/>
      <c r="Y24" s="33"/>
    </row>
    <row r="25" spans="1:25" ht="15.75" thickBot="1" x14ac:dyDescent="0.3">
      <c r="A25" s="25" t="s">
        <v>15</v>
      </c>
      <c r="B25" s="4">
        <v>0</v>
      </c>
      <c r="C25" s="4">
        <v>0</v>
      </c>
      <c r="D25" s="4">
        <v>0</v>
      </c>
      <c r="E25" s="4">
        <v>0</v>
      </c>
      <c r="F25" s="4">
        <v>71</v>
      </c>
      <c r="G25" s="4">
        <v>300</v>
      </c>
      <c r="H25" s="4">
        <v>16</v>
      </c>
      <c r="I25" s="7">
        <f>E25+F25+G25+H25</f>
        <v>387</v>
      </c>
      <c r="J25" s="9">
        <f>I25/I24</f>
        <v>0.9555555555555556</v>
      </c>
      <c r="R25" s="55">
        <v>0</v>
      </c>
      <c r="S25" s="55">
        <v>0</v>
      </c>
      <c r="T25" s="55">
        <v>25</v>
      </c>
      <c r="U25" s="55">
        <v>0</v>
      </c>
      <c r="V25" s="55">
        <v>24</v>
      </c>
      <c r="W25" s="55">
        <v>24</v>
      </c>
      <c r="X25" s="32"/>
      <c r="Y25" s="33"/>
    </row>
    <row r="26" spans="1:25" ht="15.75" thickBot="1" x14ac:dyDescent="0.3">
      <c r="A26" s="26" t="s">
        <v>16</v>
      </c>
      <c r="B26" s="36">
        <v>0</v>
      </c>
      <c r="C26" s="36">
        <v>0</v>
      </c>
      <c r="D26" s="36">
        <v>0</v>
      </c>
      <c r="E26" s="36">
        <v>0</v>
      </c>
      <c r="F26" s="36">
        <f>F24-F25</f>
        <v>4</v>
      </c>
      <c r="G26" s="36">
        <f t="shared" ref="G26:H26" si="3">G24-G25</f>
        <v>10</v>
      </c>
      <c r="H26" s="36">
        <f t="shared" si="3"/>
        <v>4</v>
      </c>
      <c r="I26" s="7">
        <f>E26+F26+G26+H26</f>
        <v>18</v>
      </c>
      <c r="J26" s="9">
        <f>I26/I24</f>
        <v>4.4444444444444446E-2</v>
      </c>
      <c r="R26" s="55">
        <v>0</v>
      </c>
      <c r="S26" s="55">
        <v>0</v>
      </c>
      <c r="T26" s="55">
        <v>39</v>
      </c>
      <c r="U26" s="55">
        <v>0</v>
      </c>
      <c r="V26" s="55">
        <v>25</v>
      </c>
      <c r="W26" s="55">
        <v>25</v>
      </c>
      <c r="X26" s="32"/>
      <c r="Y26" s="33"/>
    </row>
    <row r="27" spans="1:25" ht="15.75" thickBot="1" x14ac:dyDescent="0.3">
      <c r="A27" s="3" t="s">
        <v>17</v>
      </c>
      <c r="B27" s="42"/>
      <c r="C27" s="43"/>
      <c r="D27" s="43"/>
      <c r="E27" s="43"/>
      <c r="F27" s="30">
        <v>1</v>
      </c>
      <c r="G27" s="30">
        <v>1</v>
      </c>
      <c r="H27" s="30">
        <v>1</v>
      </c>
      <c r="I27" s="7"/>
      <c r="R27" s="55">
        <v>0</v>
      </c>
      <c r="S27" s="55">
        <v>0</v>
      </c>
      <c r="T27" s="55">
        <v>41</v>
      </c>
      <c r="U27" s="55">
        <v>0</v>
      </c>
      <c r="V27" s="55">
        <v>26</v>
      </c>
      <c r="W27" s="55">
        <v>26</v>
      </c>
      <c r="X27" s="32"/>
      <c r="Y27" s="33"/>
    </row>
    <row r="28" spans="1:25" ht="15.75" thickBot="1" x14ac:dyDescent="0.3">
      <c r="A28" s="24" t="s">
        <v>28</v>
      </c>
      <c r="B28" s="44"/>
      <c r="C28" s="36"/>
      <c r="D28" s="36"/>
      <c r="E28" s="36"/>
      <c r="F28" s="38">
        <v>3.6469999999999998</v>
      </c>
      <c r="G28" s="38">
        <v>2.7330000000000001</v>
      </c>
      <c r="H28" s="38">
        <v>3.4375</v>
      </c>
      <c r="I28" s="8">
        <f>AVERAGE(E28:H28)</f>
        <v>3.2724999999999995</v>
      </c>
      <c r="M28" t="s">
        <v>27</v>
      </c>
      <c r="R28" s="55">
        <v>0</v>
      </c>
      <c r="S28" s="55">
        <v>0</v>
      </c>
      <c r="T28" s="55">
        <v>40</v>
      </c>
      <c r="U28" s="55">
        <v>0</v>
      </c>
      <c r="V28" s="55">
        <v>27</v>
      </c>
      <c r="W28" s="55">
        <v>27</v>
      </c>
      <c r="X28" s="32"/>
      <c r="Y28" s="33"/>
    </row>
    <row r="29" spans="1:25" ht="15.75" thickBot="1" x14ac:dyDescent="0.3">
      <c r="A29" s="24" t="s">
        <v>29</v>
      </c>
      <c r="B29" s="45"/>
      <c r="C29" s="4"/>
      <c r="D29" s="4"/>
      <c r="E29" s="4"/>
      <c r="F29" s="35">
        <v>2</v>
      </c>
      <c r="G29" s="35">
        <v>2</v>
      </c>
      <c r="H29" s="35">
        <v>3</v>
      </c>
      <c r="I29" s="8">
        <f>AVERAGE(E29:H29)</f>
        <v>2.3333333333333335</v>
      </c>
      <c r="M29" s="22" t="s">
        <v>26</v>
      </c>
      <c r="R29" s="55">
        <v>0</v>
      </c>
      <c r="S29" s="55">
        <v>0</v>
      </c>
      <c r="T29" s="55">
        <v>40</v>
      </c>
      <c r="U29" s="55">
        <v>1</v>
      </c>
      <c r="V29" s="55">
        <v>28</v>
      </c>
      <c r="W29" s="55">
        <v>28</v>
      </c>
      <c r="X29" s="32"/>
      <c r="Y29" s="33"/>
    </row>
    <row r="30" spans="1:25" ht="15.75" thickBot="1" x14ac:dyDescent="0.3">
      <c r="A30" s="24" t="s">
        <v>34</v>
      </c>
      <c r="B30" s="44"/>
      <c r="C30" s="36"/>
      <c r="D30" s="36"/>
      <c r="E30" s="36"/>
      <c r="F30" s="38">
        <v>3.4430000000000001</v>
      </c>
      <c r="G30" s="38">
        <v>3.0840000000000001</v>
      </c>
      <c r="H30" s="38">
        <v>3.1669999999999998</v>
      </c>
      <c r="I30" s="8"/>
      <c r="M30" t="s">
        <v>25</v>
      </c>
      <c r="R30" s="55">
        <v>0</v>
      </c>
      <c r="S30" s="55">
        <v>0</v>
      </c>
      <c r="T30" s="55">
        <v>38</v>
      </c>
      <c r="U30" s="55">
        <v>0</v>
      </c>
      <c r="V30" s="55">
        <v>29</v>
      </c>
      <c r="W30" s="55">
        <v>29</v>
      </c>
      <c r="X30" s="32"/>
      <c r="Y30" s="33"/>
    </row>
    <row r="31" spans="1:25" ht="15.75" thickBot="1" x14ac:dyDescent="0.3">
      <c r="A31" s="23" t="s">
        <v>20</v>
      </c>
      <c r="B31" s="45"/>
      <c r="C31" s="4"/>
      <c r="D31" s="4"/>
      <c r="E31" s="4"/>
      <c r="F31" s="39">
        <v>311</v>
      </c>
      <c r="G31" s="39">
        <v>866</v>
      </c>
      <c r="H31" s="39">
        <v>79</v>
      </c>
      <c r="I31" s="7">
        <f>E31+F31+G31+H31</f>
        <v>1256</v>
      </c>
      <c r="J31" s="9">
        <f>I25/I31</f>
        <v>0.30812101910828027</v>
      </c>
      <c r="R31" s="55">
        <v>0</v>
      </c>
      <c r="S31" s="55">
        <v>0</v>
      </c>
      <c r="T31" s="55">
        <v>33</v>
      </c>
      <c r="U31" s="55">
        <v>0</v>
      </c>
      <c r="V31" s="55">
        <v>30</v>
      </c>
      <c r="W31" s="55">
        <v>30</v>
      </c>
      <c r="X31" s="32"/>
      <c r="Y31" s="33"/>
    </row>
    <row r="32" spans="1:25" ht="15.75" thickBot="1" x14ac:dyDescent="0.3">
      <c r="A32" s="28" t="s">
        <v>21</v>
      </c>
      <c r="B32" s="44"/>
      <c r="C32" s="36"/>
      <c r="D32" s="36"/>
      <c r="E32" s="36"/>
      <c r="F32" s="47">
        <v>0.2347266881028939</v>
      </c>
      <c r="G32" s="47">
        <v>0.34757505773672054</v>
      </c>
      <c r="H32" s="47">
        <v>0.189873417721519</v>
      </c>
      <c r="I32" s="37">
        <f>AVERAGE($B32:$H32)</f>
        <v>0.25739172118704451</v>
      </c>
      <c r="J32" s="31"/>
      <c r="R32" s="55">
        <v>0</v>
      </c>
      <c r="S32" s="55">
        <v>0</v>
      </c>
      <c r="T32" s="55">
        <v>21</v>
      </c>
      <c r="U32" s="55">
        <v>1</v>
      </c>
      <c r="V32" s="55">
        <v>31</v>
      </c>
      <c r="W32" s="55">
        <v>31</v>
      </c>
      <c r="X32" s="32"/>
      <c r="Y32" s="33"/>
    </row>
    <row r="33" spans="1:25" ht="15.75" thickBot="1" x14ac:dyDescent="0.3">
      <c r="A33" s="29" t="s">
        <v>22</v>
      </c>
      <c r="B33" s="45"/>
      <c r="C33" s="4"/>
      <c r="D33" s="4"/>
      <c r="E33" s="4"/>
      <c r="F33" s="48">
        <v>3.8585209003215437E-2</v>
      </c>
      <c r="G33" s="48">
        <v>6.5819861431870672E-2</v>
      </c>
      <c r="H33" s="48">
        <v>3.7974683544303799E-2</v>
      </c>
      <c r="I33" s="37">
        <f t="shared" ref="I33:I35" si="4">AVERAGE($B33:$H33)</f>
        <v>4.7459917993129964E-2</v>
      </c>
      <c r="J33" s="31"/>
      <c r="R33" s="55">
        <v>0</v>
      </c>
      <c r="S33" s="55">
        <v>0</v>
      </c>
      <c r="T33" s="55">
        <v>26</v>
      </c>
      <c r="U33" s="55">
        <v>8</v>
      </c>
      <c r="V33" s="55">
        <v>32</v>
      </c>
      <c r="W33" s="55">
        <v>32</v>
      </c>
      <c r="X33" s="32"/>
      <c r="Y33" s="33"/>
    </row>
    <row r="34" spans="1:25" ht="15.75" thickBot="1" x14ac:dyDescent="0.3">
      <c r="A34" s="27" t="s">
        <v>23</v>
      </c>
      <c r="B34" s="44"/>
      <c r="C34" s="36"/>
      <c r="D34" s="36"/>
      <c r="E34" s="36"/>
      <c r="F34" s="47">
        <v>0.63987138263665599</v>
      </c>
      <c r="G34" s="47">
        <v>0.51732101616628179</v>
      </c>
      <c r="H34" s="47">
        <v>0.73417721518987344</v>
      </c>
      <c r="I34" s="37">
        <f t="shared" si="4"/>
        <v>0.63045653799760382</v>
      </c>
      <c r="J34" s="31"/>
      <c r="R34" s="55">
        <v>0</v>
      </c>
      <c r="S34" s="55">
        <v>83</v>
      </c>
      <c r="T34" s="55">
        <v>543</v>
      </c>
      <c r="U34" s="55">
        <v>107</v>
      </c>
      <c r="V34" s="55">
        <v>33</v>
      </c>
      <c r="W34" s="55">
        <v>33</v>
      </c>
      <c r="X34" s="32"/>
      <c r="Y34" s="33"/>
    </row>
    <row r="35" spans="1:25" ht="15.75" thickBot="1" x14ac:dyDescent="0.3">
      <c r="A35" s="21" t="s">
        <v>24</v>
      </c>
      <c r="B35" s="45"/>
      <c r="C35" s="4"/>
      <c r="D35" s="4"/>
      <c r="E35" s="4"/>
      <c r="F35" s="48">
        <v>8.6816720257234734E-2</v>
      </c>
      <c r="G35" s="48">
        <v>6.9284064665127015E-2</v>
      </c>
      <c r="H35" s="48">
        <v>3.7974683544303799E-2</v>
      </c>
      <c r="I35" s="37">
        <f t="shared" si="4"/>
        <v>6.4691822822221842E-2</v>
      </c>
      <c r="J35" s="31"/>
      <c r="R35" s="56">
        <v>0</v>
      </c>
      <c r="S35" s="56">
        <v>0</v>
      </c>
      <c r="T35" s="56">
        <v>0</v>
      </c>
      <c r="U35" s="56">
        <v>0</v>
      </c>
      <c r="W35" s="56">
        <v>34</v>
      </c>
      <c r="X35" s="32"/>
      <c r="Y35" s="33"/>
    </row>
    <row r="36" spans="1:25" ht="15.75" thickBot="1" x14ac:dyDescent="0.3">
      <c r="A36" s="21" t="s">
        <v>30</v>
      </c>
      <c r="B36" s="44"/>
      <c r="C36" s="36"/>
      <c r="D36" s="36"/>
      <c r="E36" s="36"/>
      <c r="F36" s="40">
        <v>2</v>
      </c>
      <c r="G36" s="40">
        <v>16</v>
      </c>
      <c r="H36" s="40">
        <v>1</v>
      </c>
      <c r="I36" s="8">
        <f>AVERAGE(E36:H36)</f>
        <v>6.333333333333333</v>
      </c>
      <c r="R36" s="56">
        <v>0</v>
      </c>
      <c r="S36" s="56">
        <v>0</v>
      </c>
      <c r="T36" s="56">
        <v>0</v>
      </c>
      <c r="U36" s="56">
        <v>0</v>
      </c>
      <c r="W36" s="56">
        <v>35</v>
      </c>
      <c r="X36" s="32"/>
      <c r="Y36" s="33"/>
    </row>
    <row r="37" spans="1:25" ht="15.75" thickBot="1" x14ac:dyDescent="0.3">
      <c r="A37" s="21" t="s">
        <v>33</v>
      </c>
      <c r="B37" s="46"/>
      <c r="C37" s="30"/>
      <c r="D37" s="30"/>
      <c r="E37" s="30"/>
      <c r="F37" s="30">
        <v>0.1</v>
      </c>
      <c r="G37" s="30">
        <v>0.1739</v>
      </c>
      <c r="H37" s="30">
        <v>0.125</v>
      </c>
      <c r="I37" s="37">
        <f>AVERAGE(B37:H37)</f>
        <v>0.13296666666666668</v>
      </c>
      <c r="R37" s="55">
        <v>0</v>
      </c>
      <c r="S37" s="55">
        <v>0</v>
      </c>
      <c r="T37" s="55">
        <v>1</v>
      </c>
      <c r="U37" s="55">
        <v>0</v>
      </c>
      <c r="V37" s="55">
        <v>36</v>
      </c>
      <c r="W37" s="55">
        <v>36</v>
      </c>
      <c r="X37" s="32"/>
      <c r="Y37" s="33"/>
    </row>
    <row r="38" spans="1:25" ht="15.75" thickBot="1" x14ac:dyDescent="0.3">
      <c r="A38" s="21" t="s">
        <v>31</v>
      </c>
      <c r="B38" s="44"/>
      <c r="C38" s="36"/>
      <c r="D38" s="36"/>
      <c r="E38" s="36"/>
      <c r="F38" s="38">
        <v>2.75</v>
      </c>
      <c r="G38" s="38">
        <v>4</v>
      </c>
      <c r="H38" s="38">
        <v>0</v>
      </c>
      <c r="I38" s="8">
        <f>AVERAGE(F38:H38)</f>
        <v>2.25</v>
      </c>
      <c r="R38" s="55">
        <v>0</v>
      </c>
      <c r="S38" s="55">
        <v>0</v>
      </c>
      <c r="T38" s="55">
        <v>0</v>
      </c>
      <c r="U38" s="55">
        <v>2</v>
      </c>
      <c r="V38" s="55">
        <v>37</v>
      </c>
      <c r="W38" s="55">
        <v>37</v>
      </c>
      <c r="X38" s="32"/>
      <c r="Y38" s="33"/>
    </row>
    <row r="39" spans="1:25" ht="15.75" thickBot="1" x14ac:dyDescent="0.3">
      <c r="A39" s="21" t="s">
        <v>32</v>
      </c>
      <c r="B39" s="46"/>
      <c r="C39" s="30"/>
      <c r="D39" s="30"/>
      <c r="E39" s="30"/>
      <c r="F39" s="30">
        <v>0.1028</v>
      </c>
      <c r="G39" s="30">
        <v>5.2499999999999998E-2</v>
      </c>
      <c r="H39" s="30">
        <v>0</v>
      </c>
      <c r="I39" s="37">
        <f>AVERAGE(B58:H58)</f>
        <v>6.3786142857142861E-2</v>
      </c>
      <c r="R39" s="55">
        <v>0</v>
      </c>
      <c r="S39" s="55">
        <v>0</v>
      </c>
      <c r="T39" s="55">
        <v>1</v>
      </c>
      <c r="U39" s="55">
        <v>2</v>
      </c>
      <c r="V39" s="55">
        <v>38</v>
      </c>
      <c r="W39" s="55">
        <v>38</v>
      </c>
      <c r="X39" s="32"/>
      <c r="Y39" s="33"/>
    </row>
    <row r="40" spans="1:25" ht="15.75" thickBot="1" x14ac:dyDescent="0.3">
      <c r="A40" s="10" t="s">
        <v>10</v>
      </c>
      <c r="R40" s="55">
        <v>1157</v>
      </c>
      <c r="S40" s="55">
        <v>114</v>
      </c>
      <c r="T40" s="55">
        <v>9</v>
      </c>
      <c r="U40" s="55">
        <v>0</v>
      </c>
      <c r="V40" s="55">
        <v>39</v>
      </c>
      <c r="W40" s="55">
        <v>39</v>
      </c>
      <c r="X40" s="32"/>
      <c r="Y40" s="33"/>
    </row>
    <row r="41" spans="1:25" ht="15.75" thickBot="1" x14ac:dyDescent="0.3">
      <c r="A41" s="1" t="s">
        <v>0</v>
      </c>
      <c r="B41" s="2">
        <v>2020</v>
      </c>
      <c r="C41" s="2">
        <v>2021</v>
      </c>
      <c r="D41" s="2">
        <v>2022</v>
      </c>
      <c r="E41" s="2">
        <v>2023</v>
      </c>
      <c r="F41" s="2">
        <v>2024</v>
      </c>
      <c r="G41" s="2">
        <v>2025</v>
      </c>
      <c r="H41" s="2">
        <v>2026</v>
      </c>
      <c r="I41" s="6" t="s">
        <v>5</v>
      </c>
      <c r="W41" s="32"/>
      <c r="X41" s="32"/>
      <c r="Y41" s="33"/>
    </row>
    <row r="42" spans="1:25" ht="15.75" thickBot="1" x14ac:dyDescent="0.3">
      <c r="A42" s="3" t="s">
        <v>18</v>
      </c>
      <c r="B42" s="4">
        <v>184</v>
      </c>
      <c r="C42" s="4">
        <v>207</v>
      </c>
      <c r="D42" s="4">
        <v>40</v>
      </c>
      <c r="E42" s="4">
        <v>80</v>
      </c>
      <c r="F42" s="4">
        <v>264</v>
      </c>
      <c r="G42" s="4">
        <v>336</v>
      </c>
      <c r="H42" s="4">
        <v>79</v>
      </c>
      <c r="I42" s="7">
        <f>E42+F42+G42+H42+B42+C42+D42</f>
        <v>1190</v>
      </c>
      <c r="W42" s="32"/>
      <c r="X42" s="32"/>
      <c r="Y42" s="33"/>
    </row>
    <row r="43" spans="1:25" ht="15.75" thickBot="1" x14ac:dyDescent="0.3">
      <c r="A43" s="23" t="s">
        <v>19</v>
      </c>
      <c r="B43" s="36">
        <v>184</v>
      </c>
      <c r="C43" s="36">
        <v>187</v>
      </c>
      <c r="D43" s="36">
        <v>40</v>
      </c>
      <c r="E43" s="36">
        <v>76</v>
      </c>
      <c r="F43" s="36">
        <v>255</v>
      </c>
      <c r="G43" s="36">
        <v>330</v>
      </c>
      <c r="H43" s="36">
        <v>64</v>
      </c>
      <c r="I43" s="7">
        <f>E43+F43+G43+H43+D43+C43+B43</f>
        <v>1136</v>
      </c>
      <c r="J43">
        <f>I43</f>
        <v>1136</v>
      </c>
      <c r="W43" s="32"/>
      <c r="X43" s="32"/>
      <c r="Y43" s="33"/>
    </row>
    <row r="44" spans="1:25" ht="15.75" thickBot="1" x14ac:dyDescent="0.3">
      <c r="A44" s="25" t="s">
        <v>15</v>
      </c>
      <c r="B44" s="4">
        <v>181</v>
      </c>
      <c r="C44" s="4">
        <v>161</v>
      </c>
      <c r="D44" s="4">
        <v>40</v>
      </c>
      <c r="E44" s="4">
        <v>71</v>
      </c>
      <c r="F44" s="4">
        <v>246</v>
      </c>
      <c r="G44" s="4">
        <v>315</v>
      </c>
      <c r="H44" s="4">
        <v>61</v>
      </c>
      <c r="I44" s="7">
        <f>B44+C44+D44+E44+F44+G44+H44</f>
        <v>1075</v>
      </c>
      <c r="J44" s="9">
        <f>I44/I43</f>
        <v>0.94630281690140849</v>
      </c>
      <c r="W44" s="32"/>
      <c r="X44" s="32"/>
      <c r="Y44" s="33"/>
    </row>
    <row r="45" spans="1:25" ht="15.75" thickBot="1" x14ac:dyDescent="0.3">
      <c r="A45" s="26" t="s">
        <v>16</v>
      </c>
      <c r="B45" s="36">
        <f t="shared" ref="B45" si="5">B43-B44</f>
        <v>3</v>
      </c>
      <c r="C45" s="36">
        <f>C43-C44</f>
        <v>26</v>
      </c>
      <c r="D45" s="36">
        <f>D43-D44</f>
        <v>0</v>
      </c>
      <c r="E45" s="36">
        <f t="shared" ref="E45" si="6">E43-E44</f>
        <v>5</v>
      </c>
      <c r="F45" s="36">
        <f>F43-F44</f>
        <v>9</v>
      </c>
      <c r="G45" s="36">
        <f t="shared" ref="G45:H45" si="7">G43-G44</f>
        <v>15</v>
      </c>
      <c r="H45" s="36">
        <f t="shared" si="7"/>
        <v>3</v>
      </c>
      <c r="I45" s="7">
        <f>B45+C45+D45+E45+F45+G45+H45</f>
        <v>61</v>
      </c>
      <c r="J45" s="9">
        <f>I45/I43</f>
        <v>5.3697183098591547E-2</v>
      </c>
      <c r="W45" s="32"/>
      <c r="X45" s="32"/>
      <c r="Y45" s="33"/>
    </row>
    <row r="46" spans="1:25" ht="15.75" thickBot="1" x14ac:dyDescent="0.3">
      <c r="A46" s="3" t="s">
        <v>17</v>
      </c>
      <c r="B46" s="30">
        <v>0</v>
      </c>
      <c r="C46" s="30">
        <v>0.1069</v>
      </c>
      <c r="D46" s="30">
        <v>0</v>
      </c>
      <c r="E46" s="30">
        <v>0.61839999999999995</v>
      </c>
      <c r="F46" s="30">
        <v>1</v>
      </c>
      <c r="G46" s="30">
        <v>1</v>
      </c>
      <c r="H46" s="30">
        <v>1</v>
      </c>
      <c r="I46" s="7"/>
      <c r="W46" s="32"/>
      <c r="X46" s="32"/>
      <c r="Y46" s="33"/>
    </row>
    <row r="47" spans="1:25" ht="15.75" thickBot="1" x14ac:dyDescent="0.3">
      <c r="A47" s="24" t="s">
        <v>28</v>
      </c>
      <c r="B47" s="38">
        <v>2.657</v>
      </c>
      <c r="C47" s="38">
        <v>2.6080000000000001</v>
      </c>
      <c r="D47" s="38">
        <v>2.5</v>
      </c>
      <c r="E47" s="38">
        <v>5.0279999999999996</v>
      </c>
      <c r="F47" s="38">
        <v>4.63</v>
      </c>
      <c r="G47" s="38">
        <v>3.0630000000000002</v>
      </c>
      <c r="H47" s="38">
        <v>4.032</v>
      </c>
      <c r="I47" s="8">
        <f>AVERAGE(E47:H47)</f>
        <v>4.18825</v>
      </c>
      <c r="M47" t="s">
        <v>27</v>
      </c>
      <c r="W47" s="32"/>
      <c r="X47" s="32"/>
      <c r="Y47" s="33"/>
    </row>
    <row r="48" spans="1:25" ht="15.75" thickBot="1" x14ac:dyDescent="0.3">
      <c r="A48" s="24" t="s">
        <v>29</v>
      </c>
      <c r="B48" s="39">
        <v>1</v>
      </c>
      <c r="C48" s="39">
        <v>1</v>
      </c>
      <c r="D48" s="39">
        <v>3</v>
      </c>
      <c r="E48" s="39">
        <v>3</v>
      </c>
      <c r="F48" s="39">
        <v>3</v>
      </c>
      <c r="G48" s="39">
        <v>2</v>
      </c>
      <c r="H48" s="39">
        <v>3</v>
      </c>
      <c r="I48" s="8">
        <f>AVERAGE(B48:H48)</f>
        <v>2.2857142857142856</v>
      </c>
      <c r="M48" s="22" t="s">
        <v>26</v>
      </c>
      <c r="W48" s="32"/>
      <c r="X48" s="32"/>
      <c r="Y48" s="33"/>
    </row>
    <row r="49" spans="1:25" ht="15.75" thickBot="1" x14ac:dyDescent="0.3">
      <c r="A49" s="24" t="s">
        <v>34</v>
      </c>
      <c r="B49" s="38">
        <v>0.95499999999999996</v>
      </c>
      <c r="C49" s="38">
        <v>2.13</v>
      </c>
      <c r="D49" s="38">
        <v>2.2069999999999999</v>
      </c>
      <c r="E49" s="38">
        <v>3.5950000000000002</v>
      </c>
      <c r="F49" s="38">
        <v>3.64</v>
      </c>
      <c r="G49" s="38">
        <v>3.1145</v>
      </c>
      <c r="H49" s="38">
        <v>3.4849999999999999</v>
      </c>
      <c r="I49" s="8"/>
      <c r="M49" t="s">
        <v>25</v>
      </c>
      <c r="W49" s="32"/>
      <c r="X49" s="32"/>
      <c r="Y49" s="33"/>
    </row>
    <row r="50" spans="1:25" ht="15.75" thickBot="1" x14ac:dyDescent="0.3">
      <c r="A50" s="23" t="s">
        <v>20</v>
      </c>
      <c r="B50" s="4">
        <v>534</v>
      </c>
      <c r="C50" s="4">
        <v>572</v>
      </c>
      <c r="D50" s="4">
        <v>110</v>
      </c>
      <c r="E50" s="4">
        <v>606</v>
      </c>
      <c r="F50" s="39">
        <v>1360</v>
      </c>
      <c r="G50" s="39">
        <v>1048</v>
      </c>
      <c r="H50" s="39">
        <v>272</v>
      </c>
      <c r="I50" s="7">
        <f>E50+F50+G50+H50+D50+C50+B50</f>
        <v>4502</v>
      </c>
      <c r="J50" s="9">
        <f>I44/I50</f>
        <v>0.23878276321634828</v>
      </c>
      <c r="W50" s="32"/>
      <c r="X50" s="32"/>
      <c r="Y50" s="33"/>
    </row>
    <row r="51" spans="1:25" ht="15.75" thickBot="1" x14ac:dyDescent="0.3">
      <c r="A51" s="28" t="s">
        <v>21</v>
      </c>
      <c r="B51" s="47">
        <v>0.36142322097378277</v>
      </c>
      <c r="C51" s="47">
        <v>0.32167832167832167</v>
      </c>
      <c r="D51" s="47">
        <v>0.37272727272727274</v>
      </c>
      <c r="E51" s="47">
        <v>0.20297029702970298</v>
      </c>
      <c r="F51" s="47">
        <v>0.17205882352941176</v>
      </c>
      <c r="G51" s="47">
        <v>0.30343511450381677</v>
      </c>
      <c r="H51" s="47">
        <v>0.23529411764705882</v>
      </c>
      <c r="I51" s="37">
        <f t="shared" ref="I51:I53" si="8">AVERAGE($B51:$H51)</f>
        <v>0.28136959544133822</v>
      </c>
      <c r="J51" s="31"/>
      <c r="W51" s="32"/>
      <c r="X51" s="32"/>
      <c r="Y51" s="33"/>
    </row>
    <row r="52" spans="1:25" ht="15.75" thickBot="1" x14ac:dyDescent="0.3">
      <c r="A52" s="29" t="s">
        <v>22</v>
      </c>
      <c r="B52" s="30">
        <v>0.15355805243445692</v>
      </c>
      <c r="C52" s="30">
        <v>0.15734265734265734</v>
      </c>
      <c r="D52" s="30">
        <v>9.0909090909090912E-2</v>
      </c>
      <c r="E52" s="30">
        <v>0.11881188118811881</v>
      </c>
      <c r="F52" s="48">
        <v>5.7352941176470586E-2</v>
      </c>
      <c r="G52" s="48">
        <v>7.9198473282442741E-2</v>
      </c>
      <c r="H52" s="48">
        <v>2.9411764705882353E-2</v>
      </c>
      <c r="I52" s="37">
        <f t="shared" si="8"/>
        <v>9.8083551577017106E-2</v>
      </c>
      <c r="J52" s="31"/>
      <c r="W52" s="32"/>
      <c r="X52" s="32"/>
      <c r="Y52" s="33"/>
    </row>
    <row r="53" spans="1:25" ht="15.75" thickBot="1" x14ac:dyDescent="0.3">
      <c r="A53" s="27" t="s">
        <v>23</v>
      </c>
      <c r="B53" s="47">
        <v>0.42134831460674155</v>
      </c>
      <c r="C53" s="47">
        <v>0.41783216783216781</v>
      </c>
      <c r="D53" s="47">
        <v>0.49090909090909091</v>
      </c>
      <c r="E53" s="47">
        <v>0.62376237623762376</v>
      </c>
      <c r="F53" s="47">
        <v>0.67500000000000004</v>
      </c>
      <c r="G53" s="47">
        <v>0.54103053435114501</v>
      </c>
      <c r="H53" s="47">
        <v>0.69852941176470584</v>
      </c>
      <c r="I53" s="37">
        <f t="shared" si="8"/>
        <v>0.55263027081449645</v>
      </c>
      <c r="J53" s="31"/>
      <c r="W53" s="32"/>
      <c r="X53" s="32"/>
      <c r="Y53" s="33"/>
    </row>
    <row r="54" spans="1:25" ht="15.75" thickBot="1" x14ac:dyDescent="0.3">
      <c r="A54" s="21" t="s">
        <v>24</v>
      </c>
      <c r="B54" s="30">
        <v>6.3670411985018729E-2</v>
      </c>
      <c r="C54" s="30">
        <v>0.10314685314685315</v>
      </c>
      <c r="D54" s="30">
        <v>4.5454545454545456E-2</v>
      </c>
      <c r="E54" s="30">
        <v>5.4455445544554455E-2</v>
      </c>
      <c r="F54" s="48">
        <v>9.5588235294117641E-2</v>
      </c>
      <c r="G54" s="48">
        <v>7.6335877862595422E-2</v>
      </c>
      <c r="H54" s="48">
        <v>3.6764705882352942E-2</v>
      </c>
      <c r="I54" s="37">
        <f>AVERAGE($B54:$H54)</f>
        <v>6.7916582167148257E-2</v>
      </c>
      <c r="J54" s="31"/>
      <c r="W54" s="32"/>
      <c r="X54" s="32"/>
      <c r="Y54" s="33"/>
    </row>
    <row r="55" spans="1:25" ht="15.75" thickBot="1" x14ac:dyDescent="0.3">
      <c r="A55" s="21" t="s">
        <v>30</v>
      </c>
      <c r="B55" s="36">
        <v>2</v>
      </c>
      <c r="C55" s="36">
        <v>12</v>
      </c>
      <c r="D55" s="36">
        <v>0</v>
      </c>
      <c r="E55" s="36">
        <v>5</v>
      </c>
      <c r="F55" s="40">
        <v>4</v>
      </c>
      <c r="G55" s="40">
        <v>20</v>
      </c>
      <c r="H55" s="40">
        <v>1</v>
      </c>
      <c r="I55" s="8">
        <f>AVERAGE(B55:H55)</f>
        <v>6.2857142857142856</v>
      </c>
      <c r="W55" s="32"/>
      <c r="X55" s="32"/>
      <c r="Y55" s="33"/>
    </row>
    <row r="56" spans="1:25" ht="15.75" thickBot="1" x14ac:dyDescent="0.3">
      <c r="A56" s="21" t="s">
        <v>33</v>
      </c>
      <c r="B56" s="30">
        <v>3.6999999999999998E-2</v>
      </c>
      <c r="C56" s="30">
        <v>0.18459999999999999</v>
      </c>
      <c r="D56" s="30">
        <v>0</v>
      </c>
      <c r="E56" s="30">
        <v>0.13150000000000001</v>
      </c>
      <c r="F56" s="30">
        <v>4.1230000000000003E-2</v>
      </c>
      <c r="G56" s="30">
        <v>0.18859999999999999</v>
      </c>
      <c r="H56" s="30">
        <v>4.5449999999999997E-2</v>
      </c>
      <c r="I56" s="37">
        <f>AVERAGE(B56:H56)</f>
        <v>8.976857142857142E-2</v>
      </c>
      <c r="W56" s="32"/>
      <c r="X56" s="32"/>
      <c r="Y56" s="33"/>
    </row>
    <row r="57" spans="1:25" ht="15.75" thickBot="1" x14ac:dyDescent="0.3">
      <c r="A57" s="21" t="s">
        <v>31</v>
      </c>
      <c r="B57" s="36">
        <v>3</v>
      </c>
      <c r="C57" s="36">
        <v>4.75</v>
      </c>
      <c r="D57" s="36">
        <v>0.25</v>
      </c>
      <c r="E57" s="36">
        <v>2.75</v>
      </c>
      <c r="F57" s="38">
        <v>13.5</v>
      </c>
      <c r="G57" s="38">
        <v>5.75</v>
      </c>
      <c r="H57" s="38">
        <v>1</v>
      </c>
      <c r="I57" s="8">
        <f>AVERAGE(B57:H57)</f>
        <v>4.4285714285714288</v>
      </c>
      <c r="W57" s="32"/>
      <c r="X57" s="32"/>
      <c r="Y57" s="33"/>
    </row>
    <row r="58" spans="1:25" ht="15.75" thickBot="1" x14ac:dyDescent="0.3">
      <c r="A58" s="21" t="s">
        <v>32</v>
      </c>
      <c r="B58" s="30">
        <v>5.9700000000000003E-2</v>
      </c>
      <c r="C58" s="30">
        <v>9.4059000000000004E-2</v>
      </c>
      <c r="D58" s="30">
        <v>2.9411E-2</v>
      </c>
      <c r="E58" s="30">
        <v>5.6121999999999998E-2</v>
      </c>
      <c r="F58" s="30">
        <v>0.1148</v>
      </c>
      <c r="G58" s="30">
        <v>6.3E-2</v>
      </c>
      <c r="H58" s="30">
        <v>2.9411E-2</v>
      </c>
      <c r="I58" s="37">
        <f>AVERAGE(B58:H58)</f>
        <v>6.3786142857142861E-2</v>
      </c>
      <c r="W58" s="32"/>
      <c r="X58" s="32"/>
      <c r="Y58" s="33"/>
    </row>
    <row r="59" spans="1:25" x14ac:dyDescent="0.25">
      <c r="W59" s="32"/>
      <c r="X59" s="32"/>
      <c r="Y59" s="33"/>
    </row>
    <row r="60" spans="1:25" x14ac:dyDescent="0.25">
      <c r="W60" s="32"/>
      <c r="X60" s="32"/>
      <c r="Y60" s="33"/>
    </row>
    <row r="61" spans="1:25" x14ac:dyDescent="0.25">
      <c r="W61" s="32"/>
      <c r="X61" s="32"/>
      <c r="Y61" s="33"/>
    </row>
    <row r="62" spans="1:25" x14ac:dyDescent="0.25">
      <c r="W62" s="32"/>
      <c r="X62" s="32"/>
      <c r="Y62" s="33"/>
    </row>
    <row r="63" spans="1:25" x14ac:dyDescent="0.25">
      <c r="W63" s="32"/>
    </row>
    <row r="64" spans="1:25" x14ac:dyDescent="0.25">
      <c r="W64" s="32"/>
    </row>
    <row r="65" spans="23:23" x14ac:dyDescent="0.25">
      <c r="W65" s="32"/>
    </row>
  </sheetData>
  <mergeCells count="1">
    <mergeCell ref="A1:J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4B49-8496-46FB-97CB-CAA5A3116DAD}">
  <dimension ref="A1:AQ59"/>
  <sheetViews>
    <sheetView topLeftCell="A6" zoomScale="37" zoomScaleNormal="37" workbookViewId="0">
      <selection activeCell="AL38" sqref="AL38"/>
    </sheetView>
  </sheetViews>
  <sheetFormatPr baseColWidth="10" defaultRowHeight="15" x14ac:dyDescent="0.25"/>
  <cols>
    <col min="1" max="1" width="30.85546875" bestFit="1" customWidth="1"/>
    <col min="10" max="10" width="12" bestFit="1" customWidth="1"/>
    <col min="14" max="14" width="12" bestFit="1" customWidth="1"/>
    <col min="21" max="21" width="11" customWidth="1"/>
    <col min="22" max="22" width="11.42578125" hidden="1" customWidth="1"/>
    <col min="23" max="23" width="14.42578125" customWidth="1"/>
    <col min="24" max="24" width="25.28515625" customWidth="1"/>
  </cols>
  <sheetData>
    <row r="1" spans="1:43" x14ac:dyDescent="0.25">
      <c r="A1" s="41" t="s">
        <v>35</v>
      </c>
      <c r="B1" s="41"/>
      <c r="C1" s="41"/>
      <c r="D1" s="41"/>
      <c r="E1" s="41"/>
      <c r="F1" s="41"/>
      <c r="G1" s="41"/>
      <c r="H1" s="41"/>
      <c r="I1" s="41"/>
      <c r="J1" s="41"/>
      <c r="R1" s="49" t="s">
        <v>36</v>
      </c>
      <c r="S1" s="49" t="s">
        <v>37</v>
      </c>
      <c r="T1" s="49" t="s">
        <v>38</v>
      </c>
      <c r="U1" s="49" t="s">
        <v>39</v>
      </c>
      <c r="V1" s="49" t="s">
        <v>40</v>
      </c>
      <c r="W1" s="49" t="s">
        <v>40</v>
      </c>
      <c r="X1" s="34"/>
      <c r="Y1" s="49" t="s">
        <v>41</v>
      </c>
      <c r="Z1" s="49" t="s">
        <v>42</v>
      </c>
      <c r="AA1" s="49" t="s">
        <v>43</v>
      </c>
      <c r="AB1" s="49" t="s">
        <v>44</v>
      </c>
      <c r="AC1" s="49" t="s">
        <v>45</v>
      </c>
      <c r="AD1" s="49" t="s">
        <v>46</v>
      </c>
      <c r="AL1" s="49" t="s">
        <v>41</v>
      </c>
      <c r="AM1" s="49" t="s">
        <v>42</v>
      </c>
      <c r="AN1" s="49" t="s">
        <v>43</v>
      </c>
      <c r="AO1" s="49" t="s">
        <v>44</v>
      </c>
      <c r="AP1" s="49" t="s">
        <v>45</v>
      </c>
      <c r="AQ1" s="49" t="s">
        <v>46</v>
      </c>
    </row>
    <row r="2" spans="1:43" ht="15.75" thickBot="1" x14ac:dyDescent="0.3">
      <c r="A2" s="10" t="s">
        <v>7</v>
      </c>
      <c r="R2" s="50">
        <v>0</v>
      </c>
      <c r="S2" s="50">
        <v>0</v>
      </c>
      <c r="T2" s="50">
        <v>5</v>
      </c>
      <c r="U2" s="50">
        <v>0</v>
      </c>
      <c r="V2" s="50">
        <v>0</v>
      </c>
      <c r="W2" s="50">
        <v>0</v>
      </c>
      <c r="X2" s="32"/>
      <c r="Y2" s="50">
        <v>7</v>
      </c>
      <c r="Z2" s="50">
        <v>2024</v>
      </c>
      <c r="AA2" s="50">
        <v>2</v>
      </c>
      <c r="AB2" s="50">
        <v>1</v>
      </c>
      <c r="AC2" s="50">
        <v>4</v>
      </c>
      <c r="AD2" s="50">
        <v>1</v>
      </c>
      <c r="AL2" s="50">
        <v>7</v>
      </c>
      <c r="AM2" s="50">
        <v>2024</v>
      </c>
      <c r="AN2" s="50">
        <v>3</v>
      </c>
      <c r="AO2" s="50">
        <v>2</v>
      </c>
      <c r="AP2" s="50">
        <v>6</v>
      </c>
      <c r="AQ2" s="50">
        <v>0</v>
      </c>
    </row>
    <row r="3" spans="1:43" ht="15.75" thickBot="1" x14ac:dyDescent="0.3">
      <c r="A3" s="1" t="s">
        <v>0</v>
      </c>
      <c r="B3" s="2">
        <v>2020</v>
      </c>
      <c r="C3" s="2">
        <v>2021</v>
      </c>
      <c r="D3" s="2">
        <v>2022</v>
      </c>
      <c r="E3" s="2">
        <v>2023</v>
      </c>
      <c r="F3" s="2">
        <v>2024</v>
      </c>
      <c r="G3" s="2">
        <v>2025</v>
      </c>
      <c r="H3" s="2">
        <v>2026</v>
      </c>
      <c r="I3" s="6" t="s">
        <v>5</v>
      </c>
      <c r="M3" s="31"/>
      <c r="R3" s="50">
        <v>0</v>
      </c>
      <c r="S3" s="50">
        <v>39</v>
      </c>
      <c r="T3" s="50">
        <v>12</v>
      </c>
      <c r="U3" s="50">
        <v>32</v>
      </c>
      <c r="V3" s="50">
        <v>1</v>
      </c>
      <c r="W3" s="50">
        <v>1</v>
      </c>
      <c r="X3" s="33"/>
      <c r="Y3" s="50">
        <v>8</v>
      </c>
      <c r="Z3" s="50">
        <v>2024</v>
      </c>
      <c r="AA3" s="50">
        <v>4</v>
      </c>
      <c r="AB3" s="50">
        <v>0</v>
      </c>
      <c r="AC3" s="50">
        <v>6</v>
      </c>
      <c r="AD3" s="50">
        <v>1</v>
      </c>
      <c r="AL3" s="50">
        <v>8</v>
      </c>
      <c r="AM3" s="50">
        <v>2024</v>
      </c>
      <c r="AN3" s="50">
        <v>6</v>
      </c>
      <c r="AO3" s="50">
        <v>3</v>
      </c>
      <c r="AP3" s="50">
        <v>16</v>
      </c>
      <c r="AQ3" s="50">
        <v>1</v>
      </c>
    </row>
    <row r="4" spans="1:43" ht="15.75" thickBot="1" x14ac:dyDescent="0.3">
      <c r="A4" s="3" t="s">
        <v>18</v>
      </c>
      <c r="B4" s="4">
        <v>0</v>
      </c>
      <c r="C4" s="4">
        <v>20</v>
      </c>
      <c r="D4" s="4">
        <v>0</v>
      </c>
      <c r="E4" s="4">
        <v>51</v>
      </c>
      <c r="F4" s="4">
        <v>182</v>
      </c>
      <c r="G4" s="4">
        <v>44</v>
      </c>
      <c r="H4" s="4">
        <v>63</v>
      </c>
      <c r="I4" s="7">
        <f>E4+F4+G4+H4+B4+C4+D4</f>
        <v>360</v>
      </c>
      <c r="M4" s="31"/>
      <c r="R4" s="50">
        <v>0</v>
      </c>
      <c r="S4" s="50">
        <v>65</v>
      </c>
      <c r="T4" s="50">
        <v>1230</v>
      </c>
      <c r="U4" s="50">
        <v>3</v>
      </c>
      <c r="V4" s="50">
        <v>2</v>
      </c>
      <c r="W4" s="50">
        <v>2</v>
      </c>
      <c r="X4" s="33"/>
      <c r="Y4" s="50">
        <v>9</v>
      </c>
      <c r="Z4" s="50">
        <v>2024</v>
      </c>
      <c r="AA4" s="50">
        <v>1</v>
      </c>
      <c r="AB4" s="50">
        <v>0</v>
      </c>
      <c r="AC4" s="50">
        <v>0</v>
      </c>
      <c r="AD4" s="50">
        <v>0</v>
      </c>
      <c r="AL4" s="50">
        <v>9</v>
      </c>
      <c r="AM4" s="50">
        <v>2024</v>
      </c>
      <c r="AN4" s="50">
        <v>2</v>
      </c>
      <c r="AO4" s="50">
        <v>1</v>
      </c>
      <c r="AP4" s="50">
        <v>17</v>
      </c>
      <c r="AQ4" s="50">
        <v>0</v>
      </c>
    </row>
    <row r="5" spans="1:43" ht="15.75" thickBot="1" x14ac:dyDescent="0.3">
      <c r="A5" s="23" t="s">
        <v>19</v>
      </c>
      <c r="B5" s="36">
        <v>0</v>
      </c>
      <c r="C5" s="36">
        <v>20</v>
      </c>
      <c r="D5" s="36">
        <v>0</v>
      </c>
      <c r="E5" s="36">
        <v>47</v>
      </c>
      <c r="F5" s="36">
        <v>181</v>
      </c>
      <c r="G5" s="36">
        <v>39</v>
      </c>
      <c r="H5" s="36">
        <v>49</v>
      </c>
      <c r="I5" s="7">
        <f>E5+F5+G5+H5+D5+C5+B5</f>
        <v>336</v>
      </c>
      <c r="J5">
        <f>I5</f>
        <v>336</v>
      </c>
      <c r="M5" s="31"/>
      <c r="R5" s="50">
        <v>0</v>
      </c>
      <c r="S5" s="50">
        <v>23</v>
      </c>
      <c r="T5" s="50">
        <v>18</v>
      </c>
      <c r="U5" s="50">
        <v>9</v>
      </c>
      <c r="V5" s="50">
        <v>3</v>
      </c>
      <c r="W5" s="50">
        <v>3</v>
      </c>
      <c r="X5" s="33"/>
      <c r="Y5" s="50">
        <v>11</v>
      </c>
      <c r="Z5" s="50">
        <v>2024</v>
      </c>
      <c r="AA5" s="50">
        <v>2</v>
      </c>
      <c r="AB5" s="50">
        <v>0</v>
      </c>
      <c r="AC5" s="50">
        <v>14</v>
      </c>
      <c r="AD5" s="50">
        <v>3</v>
      </c>
      <c r="AL5" s="50">
        <v>10</v>
      </c>
      <c r="AM5" s="50">
        <v>2024</v>
      </c>
      <c r="AN5" s="50">
        <v>3</v>
      </c>
      <c r="AO5" s="50">
        <v>0</v>
      </c>
      <c r="AP5" s="50">
        <v>9</v>
      </c>
      <c r="AQ5" s="50">
        <v>1</v>
      </c>
    </row>
    <row r="6" spans="1:43" ht="15.75" thickBot="1" x14ac:dyDescent="0.3">
      <c r="A6" s="25" t="s">
        <v>15</v>
      </c>
      <c r="B6" s="4">
        <v>0</v>
      </c>
      <c r="C6" s="4">
        <v>10</v>
      </c>
      <c r="D6" s="4">
        <v>0</v>
      </c>
      <c r="E6" s="4">
        <v>42</v>
      </c>
      <c r="F6" s="4">
        <v>169</v>
      </c>
      <c r="G6" s="4">
        <v>18</v>
      </c>
      <c r="H6" s="4">
        <v>47</v>
      </c>
      <c r="I6" s="7">
        <f>B6+C6+D6+E6+F6+G6+H6</f>
        <v>286</v>
      </c>
      <c r="J6" s="9">
        <f>I6/I5</f>
        <v>0.85119047619047616</v>
      </c>
      <c r="R6" s="50">
        <v>0</v>
      </c>
      <c r="S6" s="50">
        <v>0</v>
      </c>
      <c r="T6" s="50">
        <v>5</v>
      </c>
      <c r="U6" s="50">
        <v>1</v>
      </c>
      <c r="V6" s="50">
        <v>4</v>
      </c>
      <c r="W6" s="50">
        <v>4</v>
      </c>
      <c r="X6" s="33"/>
      <c r="Y6" s="50">
        <v>12</v>
      </c>
      <c r="Z6" s="50">
        <v>2024</v>
      </c>
      <c r="AA6" s="50">
        <v>1</v>
      </c>
      <c r="AB6" s="50">
        <v>0</v>
      </c>
      <c r="AC6" s="50">
        <v>1</v>
      </c>
      <c r="AD6" s="50">
        <v>0</v>
      </c>
      <c r="AL6" s="50">
        <v>11</v>
      </c>
      <c r="AM6" s="50">
        <v>2024</v>
      </c>
      <c r="AN6" s="50">
        <v>6</v>
      </c>
      <c r="AO6" s="50">
        <v>1</v>
      </c>
      <c r="AP6" s="50">
        <v>19</v>
      </c>
      <c r="AQ6" s="50">
        <v>4</v>
      </c>
    </row>
    <row r="7" spans="1:43" ht="15.75" thickBot="1" x14ac:dyDescent="0.3">
      <c r="A7" s="26" t="s">
        <v>16</v>
      </c>
      <c r="B7" s="36">
        <v>0</v>
      </c>
      <c r="C7" s="36">
        <f>C5-C6</f>
        <v>10</v>
      </c>
      <c r="D7" s="36">
        <v>0</v>
      </c>
      <c r="E7" s="36">
        <f t="shared" ref="E7" si="0">E5-E6</f>
        <v>5</v>
      </c>
      <c r="F7" s="36">
        <f>F5-F6</f>
        <v>12</v>
      </c>
      <c r="G7" s="36">
        <f>G5-G6</f>
        <v>21</v>
      </c>
      <c r="H7" s="36">
        <f>H5-H6</f>
        <v>2</v>
      </c>
      <c r="I7" s="7">
        <f>B7+C7+D7+E7+F7+G7+H7</f>
        <v>50</v>
      </c>
      <c r="J7" s="9">
        <f>I7/I5</f>
        <v>0.14880952380952381</v>
      </c>
      <c r="R7" s="50">
        <v>0</v>
      </c>
      <c r="S7" s="50">
        <v>0</v>
      </c>
      <c r="T7" s="50">
        <v>2</v>
      </c>
      <c r="U7" s="50">
        <v>0</v>
      </c>
      <c r="V7" s="50">
        <v>5</v>
      </c>
      <c r="W7" s="50">
        <v>5</v>
      </c>
      <c r="X7" s="33"/>
      <c r="Y7" s="50">
        <v>13</v>
      </c>
      <c r="Z7" s="50">
        <v>2024</v>
      </c>
      <c r="AA7" s="50">
        <v>2</v>
      </c>
      <c r="AB7" s="50">
        <v>0</v>
      </c>
      <c r="AC7" s="50">
        <v>10</v>
      </c>
      <c r="AD7" s="50">
        <v>2</v>
      </c>
      <c r="AL7" s="50">
        <v>13</v>
      </c>
      <c r="AM7" s="50">
        <v>2024</v>
      </c>
      <c r="AN7" s="50">
        <v>6</v>
      </c>
      <c r="AO7" s="50">
        <v>2</v>
      </c>
      <c r="AP7" s="50">
        <v>14</v>
      </c>
      <c r="AQ7" s="50">
        <v>1</v>
      </c>
    </row>
    <row r="8" spans="1:43" ht="15.75" thickBot="1" x14ac:dyDescent="0.3">
      <c r="A8" s="24" t="s">
        <v>28</v>
      </c>
      <c r="B8" s="38"/>
      <c r="C8" s="38">
        <v>2.4</v>
      </c>
      <c r="D8" s="38"/>
      <c r="E8" s="38">
        <v>5.9</v>
      </c>
      <c r="F8" s="38">
        <v>5.0199999999999996</v>
      </c>
      <c r="G8" s="38">
        <v>4.83</v>
      </c>
      <c r="H8" s="38">
        <v>3.9140000000000001</v>
      </c>
      <c r="I8" s="8">
        <f>AVERAGE(E8:H8)</f>
        <v>4.9160000000000004</v>
      </c>
      <c r="M8" t="s">
        <v>27</v>
      </c>
      <c r="R8" s="50">
        <v>0</v>
      </c>
      <c r="S8" s="50">
        <v>5</v>
      </c>
      <c r="T8" s="50">
        <v>1</v>
      </c>
      <c r="U8" s="50">
        <v>0</v>
      </c>
      <c r="V8" s="50">
        <v>6</v>
      </c>
      <c r="W8" s="50">
        <v>6</v>
      </c>
      <c r="X8" s="33"/>
      <c r="Y8" s="50">
        <v>14</v>
      </c>
      <c r="Z8" s="50">
        <v>2024</v>
      </c>
      <c r="AA8" s="50">
        <v>1</v>
      </c>
      <c r="AB8" s="50">
        <v>0</v>
      </c>
      <c r="AC8" s="50">
        <v>4</v>
      </c>
      <c r="AD8" s="50">
        <v>0</v>
      </c>
      <c r="AL8" s="50">
        <v>14</v>
      </c>
      <c r="AM8" s="50">
        <v>2024</v>
      </c>
      <c r="AN8" s="50">
        <v>1</v>
      </c>
      <c r="AO8" s="50">
        <v>0</v>
      </c>
      <c r="AP8" s="50">
        <v>16</v>
      </c>
      <c r="AQ8" s="50">
        <v>0</v>
      </c>
    </row>
    <row r="9" spans="1:43" ht="15.75" thickBot="1" x14ac:dyDescent="0.3">
      <c r="A9" s="24" t="s">
        <v>29</v>
      </c>
      <c r="B9" s="4"/>
      <c r="C9" s="4">
        <v>3</v>
      </c>
      <c r="D9" s="4"/>
      <c r="E9" s="4">
        <v>3</v>
      </c>
      <c r="F9" s="4">
        <v>3</v>
      </c>
      <c r="G9" s="4">
        <v>3</v>
      </c>
      <c r="H9" s="4">
        <v>3</v>
      </c>
      <c r="I9" s="8">
        <f>AVERAGE(B9:H9)</f>
        <v>3</v>
      </c>
      <c r="M9" s="22" t="s">
        <v>26</v>
      </c>
      <c r="R9" s="50">
        <v>0</v>
      </c>
      <c r="S9" s="50">
        <v>2</v>
      </c>
      <c r="T9" s="50">
        <v>2</v>
      </c>
      <c r="U9" s="50">
        <v>0</v>
      </c>
      <c r="V9" s="50">
        <v>7</v>
      </c>
      <c r="W9" s="50">
        <v>7</v>
      </c>
      <c r="X9" s="33"/>
      <c r="Y9" s="50">
        <v>15</v>
      </c>
      <c r="Z9" s="50">
        <v>2024</v>
      </c>
      <c r="AA9" s="50">
        <v>3</v>
      </c>
      <c r="AB9" s="50">
        <v>0</v>
      </c>
      <c r="AC9" s="50">
        <v>6</v>
      </c>
      <c r="AD9" s="50">
        <v>0</v>
      </c>
      <c r="AL9" s="50">
        <v>15</v>
      </c>
      <c r="AM9" s="50">
        <v>2024</v>
      </c>
      <c r="AN9" s="50">
        <v>4</v>
      </c>
      <c r="AO9" s="50">
        <v>2</v>
      </c>
      <c r="AP9" s="50">
        <v>19</v>
      </c>
      <c r="AQ9" s="50">
        <v>0</v>
      </c>
    </row>
    <row r="10" spans="1:43" ht="15.75" thickBot="1" x14ac:dyDescent="0.3">
      <c r="A10" s="24" t="s">
        <v>34</v>
      </c>
      <c r="B10" s="36"/>
      <c r="C10" s="38">
        <v>3.7690000000000001</v>
      </c>
      <c r="D10" s="38"/>
      <c r="E10" s="38">
        <v>3.7360000000000002</v>
      </c>
      <c r="F10" s="38">
        <v>3.8315000000000001</v>
      </c>
      <c r="G10" s="38">
        <v>3.6644999999999999</v>
      </c>
      <c r="H10" s="38">
        <v>3.5419999999999998</v>
      </c>
      <c r="I10" s="8"/>
      <c r="M10" t="s">
        <v>25</v>
      </c>
      <c r="R10" s="51">
        <v>0</v>
      </c>
      <c r="S10" s="51">
        <v>0</v>
      </c>
      <c r="T10" s="51">
        <v>0</v>
      </c>
      <c r="U10" s="51">
        <v>0</v>
      </c>
      <c r="W10" s="51">
        <v>8</v>
      </c>
      <c r="X10" s="33"/>
      <c r="Y10" s="50">
        <v>16</v>
      </c>
      <c r="Z10" s="50">
        <v>2024</v>
      </c>
      <c r="AA10" s="50">
        <v>2</v>
      </c>
      <c r="AB10" s="50">
        <v>0</v>
      </c>
      <c r="AC10" s="50">
        <v>2</v>
      </c>
      <c r="AD10" s="50">
        <v>0</v>
      </c>
      <c r="AL10" s="50">
        <v>16</v>
      </c>
      <c r="AM10" s="50">
        <v>2024</v>
      </c>
      <c r="AN10" s="50">
        <v>6</v>
      </c>
      <c r="AO10" s="50">
        <v>4</v>
      </c>
      <c r="AP10" s="50">
        <v>20</v>
      </c>
      <c r="AQ10" s="50">
        <v>2</v>
      </c>
    </row>
    <row r="11" spans="1:43" ht="15.75" thickBot="1" x14ac:dyDescent="0.3">
      <c r="A11" s="23" t="s">
        <v>20</v>
      </c>
      <c r="B11" s="4"/>
      <c r="C11" s="4">
        <v>79</v>
      </c>
      <c r="D11" s="4"/>
      <c r="E11" s="4">
        <v>499</v>
      </c>
      <c r="F11" s="4">
        <v>931</v>
      </c>
      <c r="G11" s="4">
        <v>182</v>
      </c>
      <c r="H11" s="4">
        <v>193</v>
      </c>
      <c r="I11" s="7">
        <f>E11+F11+G11+H11+D11+C11+B11</f>
        <v>1884</v>
      </c>
      <c r="J11" s="9">
        <f>I6/I11</f>
        <v>0.15180467091295116</v>
      </c>
      <c r="R11" s="50">
        <v>0</v>
      </c>
      <c r="S11" s="50">
        <v>11</v>
      </c>
      <c r="T11" s="50">
        <v>2</v>
      </c>
      <c r="U11" s="50">
        <v>20</v>
      </c>
      <c r="V11" s="50">
        <v>9</v>
      </c>
      <c r="W11" s="50">
        <v>9</v>
      </c>
      <c r="X11" s="33"/>
    </row>
    <row r="12" spans="1:43" ht="15.75" thickBot="1" x14ac:dyDescent="0.3">
      <c r="A12" s="28" t="s">
        <v>21</v>
      </c>
      <c r="B12" s="47"/>
      <c r="C12" s="47">
        <v>0.15189873417721519</v>
      </c>
      <c r="D12" s="47"/>
      <c r="E12" s="47">
        <v>0.18436873747494989</v>
      </c>
      <c r="F12" s="47">
        <v>0.16219119226638024</v>
      </c>
      <c r="G12" s="47">
        <v>9.3406593406593408E-2</v>
      </c>
      <c r="H12" s="47">
        <v>0.25388601036269431</v>
      </c>
      <c r="I12" s="37">
        <f>AVERAGE($B12:$H12)</f>
        <v>0.1691502535375666</v>
      </c>
      <c r="J12" s="31"/>
      <c r="R12" s="50">
        <v>0</v>
      </c>
      <c r="S12" s="50">
        <v>14</v>
      </c>
      <c r="T12" s="50">
        <v>0</v>
      </c>
      <c r="U12" s="50">
        <v>98</v>
      </c>
      <c r="V12" s="50">
        <v>10</v>
      </c>
      <c r="W12" s="50">
        <v>10</v>
      </c>
      <c r="X12" s="33"/>
      <c r="Y12" s="50">
        <v>7</v>
      </c>
      <c r="Z12" s="50">
        <v>2025</v>
      </c>
      <c r="AA12" s="50">
        <v>4</v>
      </c>
      <c r="AB12" s="50">
        <v>4</v>
      </c>
      <c r="AC12" s="50">
        <v>16</v>
      </c>
      <c r="AD12" s="50">
        <v>2</v>
      </c>
      <c r="AL12" s="50">
        <v>8</v>
      </c>
      <c r="AM12" s="50">
        <v>2025</v>
      </c>
      <c r="AN12" s="50">
        <v>1</v>
      </c>
      <c r="AO12" s="50">
        <v>1</v>
      </c>
      <c r="AP12" s="50">
        <v>2</v>
      </c>
      <c r="AQ12" s="50">
        <v>2</v>
      </c>
    </row>
    <row r="13" spans="1:43" ht="15.75" thickBot="1" x14ac:dyDescent="0.3">
      <c r="A13" s="29" t="s">
        <v>22</v>
      </c>
      <c r="B13" s="30"/>
      <c r="C13" s="30">
        <v>0.189873417721519</v>
      </c>
      <c r="D13" s="30"/>
      <c r="E13" s="30">
        <v>0.11422845691382766</v>
      </c>
      <c r="F13" s="30">
        <v>5.6928034371643392E-2</v>
      </c>
      <c r="G13" s="30">
        <v>0.14285714285714285</v>
      </c>
      <c r="H13" s="30">
        <v>2.5906735751295335E-2</v>
      </c>
      <c r="I13" s="37">
        <f t="shared" ref="I13:I15" si="1">AVERAGE($B13:$H13)</f>
        <v>0.10595875752308566</v>
      </c>
      <c r="J13" s="31"/>
      <c r="R13" s="50">
        <v>0</v>
      </c>
      <c r="S13" s="50">
        <v>0</v>
      </c>
      <c r="T13" s="50">
        <v>2</v>
      </c>
      <c r="U13" s="50">
        <v>0</v>
      </c>
      <c r="V13" s="50">
        <v>11</v>
      </c>
      <c r="W13" s="50">
        <v>11</v>
      </c>
      <c r="X13" s="33"/>
      <c r="Y13" s="50">
        <v>8</v>
      </c>
      <c r="Z13" s="50">
        <v>2025</v>
      </c>
      <c r="AA13" s="50">
        <v>20</v>
      </c>
      <c r="AB13" s="50">
        <v>1</v>
      </c>
      <c r="AC13" s="50">
        <v>17</v>
      </c>
      <c r="AD13" s="50">
        <v>12</v>
      </c>
      <c r="AL13" s="50">
        <v>9</v>
      </c>
      <c r="AM13" s="50">
        <v>2025</v>
      </c>
      <c r="AN13" s="50">
        <v>0</v>
      </c>
      <c r="AO13" s="50">
        <v>0</v>
      </c>
      <c r="AP13" s="50">
        <v>4</v>
      </c>
      <c r="AQ13" s="50">
        <v>1</v>
      </c>
    </row>
    <row r="14" spans="1:43" ht="15.75" thickBot="1" x14ac:dyDescent="0.3">
      <c r="A14" s="27" t="s">
        <v>23</v>
      </c>
      <c r="B14" s="47"/>
      <c r="C14" s="47">
        <v>0.48101265822784811</v>
      </c>
      <c r="D14" s="47"/>
      <c r="E14" s="47">
        <v>0.64529058116232463</v>
      </c>
      <c r="F14" s="47">
        <v>3.007518796992481E-2</v>
      </c>
      <c r="G14" s="47">
        <v>0.65384615384615385</v>
      </c>
      <c r="H14" s="47">
        <v>0.68393782383419688</v>
      </c>
      <c r="I14" s="37">
        <f t="shared" si="1"/>
        <v>0.49883248100808969</v>
      </c>
      <c r="J14" s="31"/>
      <c r="R14" s="50">
        <v>0</v>
      </c>
      <c r="S14" s="50">
        <v>0</v>
      </c>
      <c r="T14" s="50">
        <v>3</v>
      </c>
      <c r="U14" s="50">
        <v>0</v>
      </c>
      <c r="V14" s="50">
        <v>12</v>
      </c>
      <c r="W14" s="50">
        <v>12</v>
      </c>
      <c r="X14" s="33"/>
      <c r="Y14" s="50">
        <v>9</v>
      </c>
      <c r="Z14" s="50">
        <v>2025</v>
      </c>
      <c r="AA14" s="50">
        <v>2</v>
      </c>
      <c r="AB14" s="50">
        <v>1</v>
      </c>
      <c r="AC14" s="50">
        <v>3</v>
      </c>
      <c r="AD14" s="50">
        <v>1</v>
      </c>
      <c r="AL14" s="50">
        <v>10</v>
      </c>
      <c r="AM14" s="50">
        <v>2025</v>
      </c>
      <c r="AN14" s="50">
        <v>0</v>
      </c>
      <c r="AO14" s="50">
        <v>0</v>
      </c>
      <c r="AP14" s="50">
        <v>2</v>
      </c>
      <c r="AQ14" s="50">
        <v>1</v>
      </c>
    </row>
    <row r="15" spans="1:43" ht="15.75" thickBot="1" x14ac:dyDescent="0.3">
      <c r="A15" s="21" t="s">
        <v>24</v>
      </c>
      <c r="B15" s="30"/>
      <c r="C15" s="30">
        <v>0.17721518987341772</v>
      </c>
      <c r="D15" s="30"/>
      <c r="E15" s="30">
        <v>5.6112224448897796E-2</v>
      </c>
      <c r="F15" s="30">
        <v>9.8818474758324379E-2</v>
      </c>
      <c r="G15" s="30">
        <v>0.10989010989010989</v>
      </c>
      <c r="H15" s="30">
        <v>3.6269430051813469E-2</v>
      </c>
      <c r="I15" s="37">
        <f t="shared" si="1"/>
        <v>9.5661085804512658E-2</v>
      </c>
      <c r="J15" s="31"/>
      <c r="R15" s="50">
        <v>0</v>
      </c>
      <c r="S15" s="50">
        <v>3</v>
      </c>
      <c r="T15" s="50">
        <v>4</v>
      </c>
      <c r="U15" s="50">
        <v>0</v>
      </c>
      <c r="V15" s="50">
        <v>13</v>
      </c>
      <c r="W15" s="50">
        <v>13</v>
      </c>
      <c r="X15" s="33"/>
      <c r="Y15" s="50">
        <v>10</v>
      </c>
      <c r="Z15" s="50">
        <v>2025</v>
      </c>
      <c r="AA15" s="50">
        <v>0</v>
      </c>
      <c r="AB15" s="50">
        <v>0</v>
      </c>
      <c r="AC15" s="50">
        <v>8</v>
      </c>
      <c r="AD15" s="50">
        <v>1</v>
      </c>
      <c r="AL15" s="50">
        <v>11</v>
      </c>
      <c r="AM15" s="50">
        <v>2025</v>
      </c>
      <c r="AN15" s="50">
        <v>1</v>
      </c>
      <c r="AO15" s="50">
        <v>0</v>
      </c>
      <c r="AP15" s="50">
        <v>0</v>
      </c>
      <c r="AQ15" s="50">
        <v>0</v>
      </c>
    </row>
    <row r="16" spans="1:43" ht="15.75" thickBot="1" x14ac:dyDescent="0.3">
      <c r="A16" s="21" t="s">
        <v>30</v>
      </c>
      <c r="B16" s="36"/>
      <c r="C16" s="36">
        <v>0</v>
      </c>
      <c r="D16" s="36"/>
      <c r="E16" s="36">
        <v>3</v>
      </c>
      <c r="F16" s="36">
        <v>2</v>
      </c>
      <c r="G16" s="36">
        <v>4</v>
      </c>
      <c r="H16" s="36">
        <v>0</v>
      </c>
      <c r="I16" s="8">
        <f>AVERAGE(B16:H16)</f>
        <v>1.8</v>
      </c>
      <c r="R16" s="50">
        <v>0</v>
      </c>
      <c r="S16" s="50">
        <v>0</v>
      </c>
      <c r="T16" s="50">
        <v>14</v>
      </c>
      <c r="U16" s="50">
        <v>0</v>
      </c>
      <c r="V16" s="50">
        <v>14</v>
      </c>
      <c r="W16" s="50">
        <v>14</v>
      </c>
      <c r="X16" s="33"/>
      <c r="Y16" s="50">
        <v>11</v>
      </c>
      <c r="Z16" s="50">
        <v>2025</v>
      </c>
      <c r="AA16" s="50">
        <v>20</v>
      </c>
      <c r="AB16" s="50">
        <v>3</v>
      </c>
      <c r="AC16" s="50">
        <v>27</v>
      </c>
      <c r="AD16" s="50">
        <v>3</v>
      </c>
      <c r="AL16" s="50">
        <v>13</v>
      </c>
      <c r="AM16" s="50">
        <v>2025</v>
      </c>
      <c r="AN16" s="50">
        <v>0</v>
      </c>
      <c r="AO16" s="50">
        <v>1</v>
      </c>
      <c r="AP16" s="50">
        <v>2</v>
      </c>
      <c r="AQ16" s="50">
        <v>1</v>
      </c>
    </row>
    <row r="17" spans="1:43" ht="15.75" thickBot="1" x14ac:dyDescent="0.3">
      <c r="A17" s="21" t="s">
        <v>33</v>
      </c>
      <c r="B17" s="30"/>
      <c r="C17" s="30">
        <v>0</v>
      </c>
      <c r="D17" s="30"/>
      <c r="E17" s="30">
        <v>0.1111</v>
      </c>
      <c r="F17" s="30">
        <v>2.8500000000000001E-2</v>
      </c>
      <c r="G17" s="30">
        <v>0.28549999999999998</v>
      </c>
      <c r="H17" s="30">
        <v>0</v>
      </c>
      <c r="I17" s="37">
        <f>AVERAGE(B17:H17)</f>
        <v>8.5019999999999998E-2</v>
      </c>
      <c r="R17" s="50">
        <v>0</v>
      </c>
      <c r="S17" s="50">
        <v>0</v>
      </c>
      <c r="T17" s="50">
        <v>2</v>
      </c>
      <c r="U17" s="50">
        <v>1</v>
      </c>
      <c r="V17" s="50">
        <v>15</v>
      </c>
      <c r="W17" s="50">
        <v>15</v>
      </c>
      <c r="X17" s="33"/>
      <c r="Y17" s="50">
        <v>13</v>
      </c>
      <c r="Z17" s="50">
        <v>2025</v>
      </c>
      <c r="AA17" s="50">
        <v>8</v>
      </c>
      <c r="AB17" s="50">
        <v>1</v>
      </c>
      <c r="AC17" s="50">
        <v>12</v>
      </c>
      <c r="AD17" s="50">
        <v>4</v>
      </c>
      <c r="AL17" s="50">
        <v>14</v>
      </c>
      <c r="AM17" s="50">
        <v>2025</v>
      </c>
      <c r="AN17" s="50">
        <v>1</v>
      </c>
      <c r="AO17" s="50">
        <v>0</v>
      </c>
      <c r="AP17" s="50">
        <v>0</v>
      </c>
      <c r="AQ17" s="50">
        <v>0</v>
      </c>
    </row>
    <row r="18" spans="1:43" ht="15.75" thickBot="1" x14ac:dyDescent="0.3">
      <c r="A18" s="21" t="s">
        <v>31</v>
      </c>
      <c r="B18" s="36"/>
      <c r="C18" s="36">
        <v>1.75</v>
      </c>
      <c r="D18" s="36"/>
      <c r="E18" s="36">
        <v>2.75</v>
      </c>
      <c r="F18" s="36">
        <v>9.75</v>
      </c>
      <c r="G18" s="36">
        <v>1.75</v>
      </c>
      <c r="H18" s="36">
        <v>1</v>
      </c>
      <c r="I18" s="8">
        <f>AVERAGE(B18:H18)</f>
        <v>3.4</v>
      </c>
      <c r="R18" s="50">
        <v>0</v>
      </c>
      <c r="S18" s="50">
        <v>0</v>
      </c>
      <c r="T18" s="50">
        <v>7</v>
      </c>
      <c r="U18" s="50">
        <v>35</v>
      </c>
      <c r="V18" s="50">
        <v>16</v>
      </c>
      <c r="W18" s="50">
        <v>16</v>
      </c>
      <c r="X18" s="33"/>
      <c r="Y18" s="50">
        <v>14</v>
      </c>
      <c r="Z18" s="50">
        <v>2025</v>
      </c>
      <c r="AA18" s="50">
        <v>11</v>
      </c>
      <c r="AB18" s="50">
        <v>1</v>
      </c>
      <c r="AC18" s="50">
        <v>15</v>
      </c>
      <c r="AD18" s="50">
        <v>2</v>
      </c>
    </row>
    <row r="19" spans="1:43" ht="15.75" thickBot="1" x14ac:dyDescent="0.3">
      <c r="A19" s="21" t="s">
        <v>32</v>
      </c>
      <c r="B19" s="30"/>
      <c r="C19" s="30">
        <v>0.24129999999999999</v>
      </c>
      <c r="D19" s="30"/>
      <c r="E19" s="30">
        <v>6.7000000000000004E-2</v>
      </c>
      <c r="F19" s="30">
        <v>0.123</v>
      </c>
      <c r="G19" s="30">
        <v>0.1166</v>
      </c>
      <c r="H19" s="30">
        <v>3.8800000000000001E-2</v>
      </c>
      <c r="I19" s="37">
        <f>AVERAGE(B19:H19)</f>
        <v>0.11734</v>
      </c>
      <c r="R19" s="50">
        <v>0</v>
      </c>
      <c r="S19" s="50">
        <v>2</v>
      </c>
      <c r="T19" s="50">
        <v>8</v>
      </c>
      <c r="U19" s="50">
        <v>0</v>
      </c>
      <c r="V19" s="50">
        <v>17</v>
      </c>
      <c r="W19" s="50">
        <v>17</v>
      </c>
      <c r="X19" s="32"/>
      <c r="Y19" s="50">
        <v>15</v>
      </c>
      <c r="Z19" s="50">
        <v>2025</v>
      </c>
      <c r="AA19" s="50">
        <v>6</v>
      </c>
      <c r="AB19" s="50">
        <v>0</v>
      </c>
      <c r="AC19" s="50">
        <v>8</v>
      </c>
      <c r="AD19" s="50">
        <v>1</v>
      </c>
      <c r="AL19" s="50">
        <v>7</v>
      </c>
      <c r="AM19" s="50">
        <v>2026</v>
      </c>
      <c r="AN19" s="50">
        <v>2</v>
      </c>
      <c r="AO19" s="50">
        <v>0</v>
      </c>
      <c r="AP19" s="50">
        <v>5</v>
      </c>
      <c r="AQ19" s="50">
        <v>0</v>
      </c>
    </row>
    <row r="20" spans="1:43" ht="15.75" thickBot="1" x14ac:dyDescent="0.3">
      <c r="A20" s="10" t="s">
        <v>11</v>
      </c>
      <c r="R20" s="50">
        <v>0</v>
      </c>
      <c r="S20" s="50">
        <v>0</v>
      </c>
      <c r="T20" s="50">
        <v>9</v>
      </c>
      <c r="U20" s="50">
        <v>0</v>
      </c>
      <c r="V20" s="50">
        <v>18</v>
      </c>
      <c r="W20" s="50">
        <v>18</v>
      </c>
      <c r="X20" s="33"/>
      <c r="Y20" s="50">
        <v>16</v>
      </c>
      <c r="Z20" s="50">
        <v>2025</v>
      </c>
      <c r="AA20" s="50">
        <v>6</v>
      </c>
      <c r="AB20" s="50">
        <v>1</v>
      </c>
      <c r="AC20" s="50">
        <v>9</v>
      </c>
      <c r="AD20" s="50">
        <v>0</v>
      </c>
      <c r="AL20" s="50">
        <v>8</v>
      </c>
      <c r="AM20" s="50">
        <v>2026</v>
      </c>
      <c r="AN20" s="50">
        <v>3</v>
      </c>
      <c r="AO20" s="50">
        <v>0</v>
      </c>
      <c r="AP20" s="50">
        <v>2</v>
      </c>
      <c r="AQ20" s="50">
        <v>0</v>
      </c>
    </row>
    <row r="21" spans="1:43" ht="15.75" thickBot="1" x14ac:dyDescent="0.3">
      <c r="A21" s="1" t="s">
        <v>0</v>
      </c>
      <c r="B21" s="2">
        <v>2020</v>
      </c>
      <c r="C21" s="2">
        <v>2021</v>
      </c>
      <c r="D21" s="2">
        <v>2022</v>
      </c>
      <c r="E21" s="2">
        <v>2023</v>
      </c>
      <c r="F21" s="2">
        <v>2024</v>
      </c>
      <c r="G21" s="2">
        <v>2025</v>
      </c>
      <c r="H21" s="2">
        <v>2026</v>
      </c>
      <c r="I21" s="6" t="s">
        <v>5</v>
      </c>
      <c r="R21" s="50">
        <v>0</v>
      </c>
      <c r="S21" s="50">
        <v>0</v>
      </c>
      <c r="T21" s="50">
        <v>4</v>
      </c>
      <c r="U21" s="50">
        <v>0</v>
      </c>
      <c r="V21" s="50">
        <v>19</v>
      </c>
      <c r="W21" s="50">
        <v>19</v>
      </c>
      <c r="X21" s="33"/>
      <c r="Y21" s="50">
        <v>17</v>
      </c>
      <c r="Z21" s="50">
        <v>2025</v>
      </c>
      <c r="AA21" s="50">
        <v>0</v>
      </c>
      <c r="AB21" s="50">
        <v>0</v>
      </c>
      <c r="AC21" s="50">
        <v>0</v>
      </c>
      <c r="AD21" s="50">
        <v>1</v>
      </c>
      <c r="AL21" s="50">
        <v>9</v>
      </c>
      <c r="AM21" s="50">
        <v>2026</v>
      </c>
      <c r="AN21" s="50">
        <v>1</v>
      </c>
      <c r="AO21" s="50">
        <v>0</v>
      </c>
      <c r="AP21" s="50">
        <v>1</v>
      </c>
      <c r="AQ21" s="50">
        <v>0</v>
      </c>
    </row>
    <row r="22" spans="1:43" ht="15.75" thickBot="1" x14ac:dyDescent="0.3">
      <c r="A22" s="3" t="s">
        <v>18</v>
      </c>
      <c r="B22" s="4">
        <v>0</v>
      </c>
      <c r="C22" s="4">
        <v>0</v>
      </c>
      <c r="D22" s="4">
        <v>0</v>
      </c>
      <c r="E22" s="4">
        <v>0</v>
      </c>
      <c r="F22" s="4">
        <v>76</v>
      </c>
      <c r="G22" s="4">
        <v>311</v>
      </c>
      <c r="H22" s="4">
        <v>25</v>
      </c>
      <c r="I22" s="7">
        <f>E22+F22+G22+H22</f>
        <v>412</v>
      </c>
      <c r="R22" s="50">
        <v>0</v>
      </c>
      <c r="S22" s="50">
        <v>0</v>
      </c>
      <c r="T22" s="50">
        <v>12</v>
      </c>
      <c r="U22" s="50">
        <v>0</v>
      </c>
      <c r="V22" s="50">
        <v>20</v>
      </c>
      <c r="W22" s="50">
        <v>20</v>
      </c>
      <c r="X22" s="33"/>
      <c r="AL22" s="50">
        <v>11</v>
      </c>
      <c r="AM22" s="50">
        <v>2026</v>
      </c>
      <c r="AN22" s="50">
        <v>4</v>
      </c>
      <c r="AO22" s="50">
        <v>0</v>
      </c>
      <c r="AP22" s="50">
        <v>8</v>
      </c>
      <c r="AQ22" s="50">
        <v>0</v>
      </c>
    </row>
    <row r="23" spans="1:43" ht="15.75" thickBot="1" x14ac:dyDescent="0.3">
      <c r="A23" s="23" t="s">
        <v>19</v>
      </c>
      <c r="B23" s="36">
        <v>0</v>
      </c>
      <c r="C23" s="36">
        <v>0</v>
      </c>
      <c r="D23" s="36">
        <v>0</v>
      </c>
      <c r="E23" s="36">
        <v>0</v>
      </c>
      <c r="F23" s="36">
        <v>75</v>
      </c>
      <c r="G23" s="36">
        <v>310</v>
      </c>
      <c r="H23" s="36">
        <v>20</v>
      </c>
      <c r="I23" s="7">
        <f>E23+F23+G23+H23</f>
        <v>405</v>
      </c>
      <c r="J23">
        <f>I23</f>
        <v>405</v>
      </c>
      <c r="R23" s="50">
        <v>0</v>
      </c>
      <c r="S23" s="50">
        <v>0</v>
      </c>
      <c r="T23" s="50">
        <v>3</v>
      </c>
      <c r="U23" s="50">
        <v>0</v>
      </c>
      <c r="V23" s="50">
        <v>21</v>
      </c>
      <c r="W23" s="50">
        <v>21</v>
      </c>
      <c r="X23" s="33"/>
      <c r="Y23" s="50">
        <v>8</v>
      </c>
      <c r="Z23" s="50">
        <v>2026</v>
      </c>
      <c r="AA23" s="50">
        <v>2</v>
      </c>
      <c r="AB23" s="50">
        <v>1</v>
      </c>
      <c r="AC23" s="50">
        <v>4</v>
      </c>
      <c r="AD23" s="50">
        <v>1</v>
      </c>
      <c r="AL23" s="50">
        <v>13</v>
      </c>
      <c r="AM23" s="50">
        <v>2026</v>
      </c>
      <c r="AN23" s="50">
        <v>1</v>
      </c>
      <c r="AO23" s="50">
        <v>0</v>
      </c>
      <c r="AP23" s="50">
        <v>2</v>
      </c>
      <c r="AQ23" s="50">
        <v>0</v>
      </c>
    </row>
    <row r="24" spans="1:43" ht="15.75" thickBot="1" x14ac:dyDescent="0.3">
      <c r="A24" s="25" t="s">
        <v>15</v>
      </c>
      <c r="B24" s="4">
        <v>0</v>
      </c>
      <c r="C24" s="4">
        <v>0</v>
      </c>
      <c r="D24" s="4">
        <v>0</v>
      </c>
      <c r="E24" s="4">
        <v>0</v>
      </c>
      <c r="F24" s="4">
        <v>71</v>
      </c>
      <c r="G24" s="4">
        <v>300</v>
      </c>
      <c r="H24" s="4">
        <v>16</v>
      </c>
      <c r="I24" s="7">
        <f>E24+F24+G24+H24</f>
        <v>387</v>
      </c>
      <c r="J24" s="9">
        <f>I24/I23</f>
        <v>0.9555555555555556</v>
      </c>
      <c r="R24" s="50">
        <v>0</v>
      </c>
      <c r="S24" s="50">
        <v>0</v>
      </c>
      <c r="T24" s="50">
        <v>4</v>
      </c>
      <c r="U24" s="50">
        <v>0</v>
      </c>
      <c r="V24" s="50">
        <v>22</v>
      </c>
      <c r="W24" s="50">
        <v>22</v>
      </c>
      <c r="X24" s="33"/>
      <c r="Y24" s="50">
        <v>11</v>
      </c>
      <c r="Z24" s="50">
        <v>2026</v>
      </c>
      <c r="AA24" s="50">
        <v>1</v>
      </c>
      <c r="AB24" s="50">
        <v>0</v>
      </c>
      <c r="AC24" s="50">
        <v>1</v>
      </c>
      <c r="AD24" s="50">
        <v>0</v>
      </c>
      <c r="AL24" s="50">
        <v>15</v>
      </c>
      <c r="AM24" s="50">
        <v>2026</v>
      </c>
      <c r="AN24" s="50">
        <v>1</v>
      </c>
      <c r="AO24" s="50">
        <v>0</v>
      </c>
      <c r="AP24" s="50">
        <v>2</v>
      </c>
      <c r="AQ24" s="50">
        <v>0</v>
      </c>
    </row>
    <row r="25" spans="1:43" ht="15.75" thickBot="1" x14ac:dyDescent="0.3">
      <c r="A25" s="26" t="s">
        <v>16</v>
      </c>
      <c r="B25" s="36">
        <v>0</v>
      </c>
      <c r="C25" s="36">
        <v>0</v>
      </c>
      <c r="D25" s="36">
        <v>0</v>
      </c>
      <c r="E25" s="36">
        <v>0</v>
      </c>
      <c r="F25" s="36">
        <f>F23-F24</f>
        <v>4</v>
      </c>
      <c r="G25" s="36">
        <f t="shared" ref="G25:H25" si="2">G23-G24</f>
        <v>10</v>
      </c>
      <c r="H25" s="36">
        <f t="shared" si="2"/>
        <v>4</v>
      </c>
      <c r="I25" s="7">
        <f>E25+F25+G25+H25</f>
        <v>18</v>
      </c>
      <c r="J25" s="9">
        <f>I25/I23</f>
        <v>4.4444444444444446E-2</v>
      </c>
      <c r="R25" s="50">
        <v>0</v>
      </c>
      <c r="S25" s="50">
        <v>0</v>
      </c>
      <c r="T25" s="50">
        <v>6</v>
      </c>
      <c r="U25" s="50">
        <v>0</v>
      </c>
      <c r="V25" s="50">
        <v>23</v>
      </c>
      <c r="W25" s="50">
        <v>23</v>
      </c>
      <c r="X25" s="33"/>
      <c r="Y25" s="50">
        <v>13</v>
      </c>
      <c r="Z25" s="50">
        <v>2026</v>
      </c>
      <c r="AA25" s="50">
        <v>1</v>
      </c>
      <c r="AB25" s="50">
        <v>0</v>
      </c>
      <c r="AC25" s="50">
        <v>2</v>
      </c>
      <c r="AD25" s="50">
        <v>0</v>
      </c>
    </row>
    <row r="26" spans="1:43" ht="15.75" thickBot="1" x14ac:dyDescent="0.3">
      <c r="A26" s="24" t="s">
        <v>28</v>
      </c>
      <c r="B26" s="44"/>
      <c r="C26" s="36"/>
      <c r="D26" s="36"/>
      <c r="E26" s="36"/>
      <c r="F26" s="38">
        <v>3.6469999999999998</v>
      </c>
      <c r="G26" s="38">
        <v>2.7330000000000001</v>
      </c>
      <c r="H26" s="38">
        <v>3.4375</v>
      </c>
      <c r="I26" s="8">
        <f>AVERAGE(E26:H26)</f>
        <v>3.2724999999999995</v>
      </c>
      <c r="M26" t="s">
        <v>27</v>
      </c>
      <c r="R26" s="50">
        <v>0</v>
      </c>
      <c r="S26" s="50">
        <v>0</v>
      </c>
      <c r="T26" s="50">
        <v>6</v>
      </c>
      <c r="U26" s="50">
        <v>0</v>
      </c>
      <c r="V26" s="50">
        <v>24</v>
      </c>
      <c r="W26" s="50">
        <v>24</v>
      </c>
      <c r="X26" s="33"/>
      <c r="Y26" s="50">
        <v>15</v>
      </c>
      <c r="Z26" s="50">
        <v>2026</v>
      </c>
      <c r="AA26" s="50">
        <v>0</v>
      </c>
      <c r="AB26" s="50">
        <v>0</v>
      </c>
      <c r="AC26" s="50">
        <v>1</v>
      </c>
      <c r="AD26" s="50">
        <v>0</v>
      </c>
    </row>
    <row r="27" spans="1:43" ht="15.75" thickBot="1" x14ac:dyDescent="0.3">
      <c r="A27" s="24" t="s">
        <v>29</v>
      </c>
      <c r="B27" s="45"/>
      <c r="C27" s="4"/>
      <c r="D27" s="4"/>
      <c r="E27" s="4"/>
      <c r="F27" s="35">
        <v>2</v>
      </c>
      <c r="G27" s="35">
        <v>2</v>
      </c>
      <c r="H27" s="35">
        <v>3</v>
      </c>
      <c r="I27" s="8">
        <f>AVERAGE(E27:H27)</f>
        <v>2.3333333333333335</v>
      </c>
      <c r="M27" s="22" t="s">
        <v>26</v>
      </c>
      <c r="R27" s="50">
        <v>0</v>
      </c>
      <c r="S27" s="50">
        <v>0</v>
      </c>
      <c r="T27" s="50">
        <v>11</v>
      </c>
      <c r="U27" s="50">
        <v>0</v>
      </c>
      <c r="V27" s="50">
        <v>25</v>
      </c>
      <c r="W27" s="50">
        <v>25</v>
      </c>
      <c r="X27" s="33"/>
      <c r="Y27" s="50">
        <v>16</v>
      </c>
      <c r="Z27" s="50">
        <v>2026</v>
      </c>
      <c r="AA27" s="50">
        <v>1</v>
      </c>
      <c r="AB27" s="50">
        <v>0</v>
      </c>
      <c r="AC27" s="50">
        <v>6</v>
      </c>
      <c r="AD27" s="50">
        <v>1</v>
      </c>
    </row>
    <row r="28" spans="1:43" ht="15.75" thickBot="1" x14ac:dyDescent="0.3">
      <c r="A28" s="24" t="s">
        <v>34</v>
      </c>
      <c r="B28" s="44"/>
      <c r="C28" s="36"/>
      <c r="D28" s="36"/>
      <c r="E28" s="36"/>
      <c r="F28" s="38">
        <v>3.4430000000000001</v>
      </c>
      <c r="G28" s="38">
        <v>3.0840000000000001</v>
      </c>
      <c r="H28" s="38">
        <v>3.1669999999999998</v>
      </c>
      <c r="I28" s="8"/>
      <c r="M28" t="s">
        <v>25</v>
      </c>
      <c r="R28" s="50">
        <v>0</v>
      </c>
      <c r="S28" s="50">
        <v>0</v>
      </c>
      <c r="T28" s="50">
        <v>11</v>
      </c>
      <c r="U28" s="50">
        <v>0</v>
      </c>
      <c r="V28" s="50">
        <v>26</v>
      </c>
      <c r="W28" s="50">
        <v>26</v>
      </c>
      <c r="X28" s="33"/>
    </row>
    <row r="29" spans="1:43" ht="15.75" thickBot="1" x14ac:dyDescent="0.3">
      <c r="A29" s="23" t="s">
        <v>20</v>
      </c>
      <c r="B29" s="45"/>
      <c r="C29" s="4"/>
      <c r="D29" s="4"/>
      <c r="E29" s="4"/>
      <c r="F29" s="39">
        <v>311</v>
      </c>
      <c r="G29" s="39">
        <v>866</v>
      </c>
      <c r="H29" s="39">
        <v>79</v>
      </c>
      <c r="I29" s="7">
        <f>E29+F29+G29+H29</f>
        <v>1256</v>
      </c>
      <c r="J29" s="9">
        <f>I24/I29</f>
        <v>0.30812101910828027</v>
      </c>
      <c r="R29" s="50">
        <v>0</v>
      </c>
      <c r="S29" s="50">
        <v>0</v>
      </c>
      <c r="T29" s="50">
        <v>16</v>
      </c>
      <c r="U29" s="50">
        <v>0</v>
      </c>
      <c r="V29" s="50">
        <v>27</v>
      </c>
      <c r="W29" s="50">
        <v>27</v>
      </c>
      <c r="X29" s="33"/>
    </row>
    <row r="30" spans="1:43" ht="15.75" thickBot="1" x14ac:dyDescent="0.3">
      <c r="A30" s="28" t="s">
        <v>21</v>
      </c>
      <c r="B30" s="44"/>
      <c r="C30" s="36"/>
      <c r="D30" s="36"/>
      <c r="E30" s="36"/>
      <c r="F30" s="47">
        <v>0.2347266881028939</v>
      </c>
      <c r="G30" s="47">
        <v>0.34757505773672054</v>
      </c>
      <c r="H30" s="47">
        <v>0.189873417721519</v>
      </c>
      <c r="I30" s="37">
        <f>AVERAGE($B30:$H30)</f>
        <v>0.25739172118704451</v>
      </c>
      <c r="J30" s="31"/>
      <c r="R30" s="50">
        <v>0</v>
      </c>
      <c r="S30" s="50">
        <v>0</v>
      </c>
      <c r="T30" s="50">
        <v>17</v>
      </c>
      <c r="U30" s="50">
        <v>0</v>
      </c>
      <c r="V30" s="50">
        <v>28</v>
      </c>
      <c r="W30" s="50">
        <v>28</v>
      </c>
      <c r="X30" s="33"/>
    </row>
    <row r="31" spans="1:43" ht="15.75" thickBot="1" x14ac:dyDescent="0.3">
      <c r="A31" s="29" t="s">
        <v>22</v>
      </c>
      <c r="B31" s="45"/>
      <c r="C31" s="4"/>
      <c r="D31" s="4"/>
      <c r="E31" s="4"/>
      <c r="F31" s="48">
        <v>3.8585209003215437E-2</v>
      </c>
      <c r="G31" s="48">
        <v>6.5819861431870672E-2</v>
      </c>
      <c r="H31" s="48">
        <v>3.7974683544303799E-2</v>
      </c>
      <c r="I31" s="37">
        <f t="shared" ref="I31:I33" si="3">AVERAGE($B31:$H31)</f>
        <v>4.7459917993129964E-2</v>
      </c>
      <c r="J31" s="31"/>
      <c r="R31" s="50">
        <v>0</v>
      </c>
      <c r="S31" s="50">
        <v>0</v>
      </c>
      <c r="T31" s="50">
        <v>20</v>
      </c>
      <c r="U31" s="50">
        <v>0</v>
      </c>
      <c r="V31" s="50">
        <v>29</v>
      </c>
      <c r="W31" s="50">
        <v>29</v>
      </c>
      <c r="X31" s="33"/>
    </row>
    <row r="32" spans="1:43" ht="15.75" thickBot="1" x14ac:dyDescent="0.3">
      <c r="A32" s="27" t="s">
        <v>23</v>
      </c>
      <c r="B32" s="44"/>
      <c r="C32" s="36"/>
      <c r="D32" s="36"/>
      <c r="E32" s="36"/>
      <c r="F32" s="47">
        <v>0.63987138263665599</v>
      </c>
      <c r="G32" s="47">
        <v>0.51732101616628179</v>
      </c>
      <c r="H32" s="47">
        <v>0.73417721518987344</v>
      </c>
      <c r="I32" s="37">
        <f t="shared" si="3"/>
        <v>0.63045653799760382</v>
      </c>
      <c r="J32" s="31"/>
      <c r="R32" s="50">
        <v>0</v>
      </c>
      <c r="S32" s="50">
        <v>0</v>
      </c>
      <c r="T32" s="50">
        <v>17</v>
      </c>
      <c r="U32" s="50">
        <v>0</v>
      </c>
      <c r="V32" s="50">
        <v>30</v>
      </c>
      <c r="W32" s="50">
        <v>30</v>
      </c>
      <c r="X32" s="33"/>
    </row>
    <row r="33" spans="1:25" ht="15.75" thickBot="1" x14ac:dyDescent="0.3">
      <c r="A33" s="21" t="s">
        <v>24</v>
      </c>
      <c r="B33" s="45"/>
      <c r="C33" s="4"/>
      <c r="D33" s="4"/>
      <c r="E33" s="4"/>
      <c r="F33" s="48">
        <v>8.6816720257234734E-2</v>
      </c>
      <c r="G33" s="48">
        <v>6.9284064665127015E-2</v>
      </c>
      <c r="H33" s="48">
        <v>3.7974683544303799E-2</v>
      </c>
      <c r="I33" s="37">
        <f t="shared" si="3"/>
        <v>6.4691822822221842E-2</v>
      </c>
      <c r="J33" s="31"/>
      <c r="R33" s="50">
        <v>0</v>
      </c>
      <c r="S33" s="50">
        <v>0</v>
      </c>
      <c r="T33" s="50">
        <v>11</v>
      </c>
      <c r="U33" s="50">
        <v>1</v>
      </c>
      <c r="V33" s="50">
        <v>31</v>
      </c>
      <c r="W33" s="50">
        <v>31</v>
      </c>
      <c r="X33" s="33"/>
    </row>
    <row r="34" spans="1:25" ht="15.75" thickBot="1" x14ac:dyDescent="0.3">
      <c r="A34" s="21" t="s">
        <v>30</v>
      </c>
      <c r="B34" s="44"/>
      <c r="C34" s="36"/>
      <c r="D34" s="36"/>
      <c r="E34" s="36"/>
      <c r="F34" s="40">
        <v>2</v>
      </c>
      <c r="G34" s="40">
        <v>16</v>
      </c>
      <c r="H34" s="40">
        <v>1</v>
      </c>
      <c r="I34" s="8">
        <f>AVERAGE(E34:H34)</f>
        <v>6.333333333333333</v>
      </c>
      <c r="R34" s="50">
        <v>0</v>
      </c>
      <c r="S34" s="50">
        <v>0</v>
      </c>
      <c r="T34" s="50">
        <v>21</v>
      </c>
      <c r="U34" s="50">
        <v>4</v>
      </c>
      <c r="V34" s="50">
        <v>32</v>
      </c>
      <c r="W34" s="50">
        <v>32</v>
      </c>
      <c r="X34" s="33"/>
    </row>
    <row r="35" spans="1:25" ht="15.75" thickBot="1" x14ac:dyDescent="0.3">
      <c r="A35" s="21" t="s">
        <v>33</v>
      </c>
      <c r="B35" s="46"/>
      <c r="C35" s="30"/>
      <c r="D35" s="30"/>
      <c r="E35" s="30"/>
      <c r="F35" s="30">
        <v>0.1</v>
      </c>
      <c r="G35" s="30">
        <v>0.1739</v>
      </c>
      <c r="H35" s="30">
        <v>0.125</v>
      </c>
      <c r="I35" s="37">
        <f>AVERAGE(B35:H35)</f>
        <v>0.13296666666666668</v>
      </c>
      <c r="R35" s="50">
        <v>0</v>
      </c>
      <c r="S35" s="50">
        <v>45</v>
      </c>
      <c r="T35" s="50">
        <v>466</v>
      </c>
      <c r="U35" s="50">
        <v>47</v>
      </c>
      <c r="V35" s="50">
        <v>33</v>
      </c>
      <c r="W35" s="50">
        <v>33</v>
      </c>
      <c r="X35" s="33"/>
    </row>
    <row r="36" spans="1:25" ht="15.75" thickBot="1" x14ac:dyDescent="0.3">
      <c r="A36" s="21" t="s">
        <v>31</v>
      </c>
      <c r="B36" s="44"/>
      <c r="C36" s="36"/>
      <c r="D36" s="36"/>
      <c r="E36" s="36"/>
      <c r="F36" s="38">
        <v>2.75</v>
      </c>
      <c r="G36" s="38">
        <v>4</v>
      </c>
      <c r="H36" s="38">
        <v>0</v>
      </c>
      <c r="I36" s="8">
        <f>AVERAGE(F36:H36)</f>
        <v>2.25</v>
      </c>
      <c r="R36" s="51">
        <v>0</v>
      </c>
      <c r="S36" s="51">
        <v>0</v>
      </c>
      <c r="T36" s="51">
        <v>0</v>
      </c>
      <c r="U36" s="51">
        <v>0</v>
      </c>
      <c r="W36" s="51">
        <v>34</v>
      </c>
      <c r="X36" s="32"/>
      <c r="Y36" s="33"/>
    </row>
    <row r="37" spans="1:25" ht="15.75" thickBot="1" x14ac:dyDescent="0.3">
      <c r="A37" s="21" t="s">
        <v>32</v>
      </c>
      <c r="B37" s="46"/>
      <c r="C37" s="30"/>
      <c r="D37" s="30"/>
      <c r="E37" s="30"/>
      <c r="F37" s="30">
        <v>0.1028</v>
      </c>
      <c r="G37" s="30">
        <v>5.2499999999999998E-2</v>
      </c>
      <c r="H37" s="30">
        <v>0</v>
      </c>
      <c r="I37" s="37">
        <f>AVERAGE(B55:H55)</f>
        <v>0.10373600000000001</v>
      </c>
      <c r="R37" s="51">
        <v>0</v>
      </c>
      <c r="S37" s="51">
        <v>0</v>
      </c>
      <c r="T37" s="51">
        <v>0</v>
      </c>
      <c r="U37" s="51">
        <v>0</v>
      </c>
      <c r="V37" s="32"/>
      <c r="W37" s="32">
        <v>35</v>
      </c>
      <c r="X37" s="33"/>
    </row>
    <row r="38" spans="1:25" ht="15.75" thickBot="1" x14ac:dyDescent="0.3">
      <c r="A38" s="10" t="s">
        <v>10</v>
      </c>
      <c r="R38" s="52">
        <v>0</v>
      </c>
      <c r="S38" s="51">
        <v>0</v>
      </c>
      <c r="T38" s="53">
        <v>0</v>
      </c>
      <c r="U38" s="51">
        <v>0</v>
      </c>
      <c r="V38" s="32"/>
      <c r="W38" s="32">
        <v>36</v>
      </c>
      <c r="X38" s="33"/>
    </row>
    <row r="39" spans="1:25" ht="15.75" thickBot="1" x14ac:dyDescent="0.3">
      <c r="A39" s="1" t="s">
        <v>0</v>
      </c>
      <c r="B39" s="2">
        <v>2020</v>
      </c>
      <c r="C39" s="2">
        <v>2021</v>
      </c>
      <c r="D39" s="2">
        <v>2022</v>
      </c>
      <c r="E39" s="2">
        <v>2023</v>
      </c>
      <c r="F39" s="2">
        <v>2024</v>
      </c>
      <c r="G39" s="2">
        <v>2025</v>
      </c>
      <c r="H39" s="2">
        <v>2026</v>
      </c>
      <c r="I39" s="6" t="s">
        <v>5</v>
      </c>
      <c r="R39" s="52">
        <v>0</v>
      </c>
      <c r="S39" s="51">
        <v>0</v>
      </c>
      <c r="T39" s="53">
        <v>0</v>
      </c>
      <c r="U39" s="51">
        <v>0</v>
      </c>
      <c r="V39" s="32"/>
      <c r="W39" s="32">
        <v>37</v>
      </c>
      <c r="X39" s="33"/>
    </row>
    <row r="40" spans="1:25" ht="15.75" thickBot="1" x14ac:dyDescent="0.3">
      <c r="A40" s="3" t="s">
        <v>18</v>
      </c>
      <c r="B40" s="4">
        <v>0</v>
      </c>
      <c r="C40" s="4">
        <v>20</v>
      </c>
      <c r="D40" s="4">
        <v>0</v>
      </c>
      <c r="E40" s="4">
        <v>51</v>
      </c>
      <c r="F40" s="4">
        <v>240</v>
      </c>
      <c r="G40" s="4">
        <v>336</v>
      </c>
      <c r="H40" s="4">
        <v>79</v>
      </c>
      <c r="I40" s="7">
        <f>E40+F40+G40+H40+B40+C40+D40</f>
        <v>726</v>
      </c>
      <c r="R40">
        <v>0</v>
      </c>
      <c r="S40" s="51">
        <v>0</v>
      </c>
      <c r="T40">
        <v>0</v>
      </c>
      <c r="U40" s="51">
        <v>0</v>
      </c>
      <c r="V40" s="32"/>
      <c r="W40" s="32">
        <v>38</v>
      </c>
      <c r="X40" s="33"/>
    </row>
    <row r="41" spans="1:25" ht="15.75" thickBot="1" x14ac:dyDescent="0.3">
      <c r="A41" s="23" t="s">
        <v>19</v>
      </c>
      <c r="B41" s="36">
        <v>0</v>
      </c>
      <c r="C41" s="36">
        <v>20</v>
      </c>
      <c r="D41" s="36">
        <v>0</v>
      </c>
      <c r="E41" s="36">
        <v>47</v>
      </c>
      <c r="F41" s="36">
        <v>238</v>
      </c>
      <c r="G41" s="36">
        <v>330</v>
      </c>
      <c r="H41" s="36">
        <v>64</v>
      </c>
      <c r="I41" s="7">
        <f>E41+F41+G41+H41+D41+C41+B41</f>
        <v>699</v>
      </c>
      <c r="J41">
        <f>I41</f>
        <v>699</v>
      </c>
      <c r="R41" s="50">
        <v>710</v>
      </c>
      <c r="S41" s="50">
        <v>19</v>
      </c>
      <c r="T41" s="50">
        <v>0</v>
      </c>
      <c r="U41" s="50">
        <v>0</v>
      </c>
      <c r="V41" s="50">
        <v>39</v>
      </c>
      <c r="W41" s="50">
        <v>39</v>
      </c>
      <c r="X41" s="33"/>
    </row>
    <row r="42" spans="1:25" ht="15.75" thickBot="1" x14ac:dyDescent="0.3">
      <c r="A42" s="25" t="s">
        <v>15</v>
      </c>
      <c r="B42" s="4">
        <v>0</v>
      </c>
      <c r="C42" s="4">
        <v>10</v>
      </c>
      <c r="D42" s="4">
        <v>0</v>
      </c>
      <c r="E42" s="4">
        <v>42</v>
      </c>
      <c r="F42" s="4">
        <v>232</v>
      </c>
      <c r="G42" s="4">
        <v>315</v>
      </c>
      <c r="H42" s="4">
        <v>61</v>
      </c>
      <c r="I42" s="7">
        <f>B42+C42+D42+E42+F42+G42+H42</f>
        <v>660</v>
      </c>
      <c r="J42" s="9">
        <f>I42/I41</f>
        <v>0.94420600858369097</v>
      </c>
      <c r="V42" s="32"/>
      <c r="W42" s="32"/>
      <c r="X42" s="33"/>
    </row>
    <row r="43" spans="1:25" ht="15.75" thickBot="1" x14ac:dyDescent="0.3">
      <c r="A43" s="26" t="s">
        <v>16</v>
      </c>
      <c r="B43" s="36">
        <v>0</v>
      </c>
      <c r="C43" s="36">
        <f>C41-C42</f>
        <v>10</v>
      </c>
      <c r="D43" s="36">
        <f>D41-D42</f>
        <v>0</v>
      </c>
      <c r="E43" s="36">
        <f t="shared" ref="E43" si="4">E41-E42</f>
        <v>5</v>
      </c>
      <c r="F43" s="36">
        <f>F41-F42</f>
        <v>6</v>
      </c>
      <c r="G43" s="36">
        <f t="shared" ref="G43:H43" si="5">G41-G42</f>
        <v>15</v>
      </c>
      <c r="H43" s="36">
        <f t="shared" si="5"/>
        <v>3</v>
      </c>
      <c r="I43" s="7">
        <f>B43+C43+D43+E43+F43+G43+H43</f>
        <v>39</v>
      </c>
      <c r="J43" s="9">
        <f>I43/I41</f>
        <v>5.5793991416309016E-2</v>
      </c>
      <c r="V43" s="32"/>
      <c r="W43" s="32"/>
      <c r="X43" s="33"/>
    </row>
    <row r="44" spans="1:25" ht="15.75" thickBot="1" x14ac:dyDescent="0.3">
      <c r="A44" s="24" t="s">
        <v>28</v>
      </c>
      <c r="B44" s="38"/>
      <c r="C44" s="38">
        <v>2.4</v>
      </c>
      <c r="D44" s="38"/>
      <c r="E44" s="38">
        <v>5.9039999999999999</v>
      </c>
      <c r="F44" s="38">
        <v>4.76</v>
      </c>
      <c r="G44" s="38">
        <v>3.06</v>
      </c>
      <c r="H44" s="38">
        <v>4.032</v>
      </c>
      <c r="I44" s="8">
        <f>AVERAGE(E44:H44)</f>
        <v>4.4390000000000001</v>
      </c>
      <c r="M44" t="s">
        <v>27</v>
      </c>
      <c r="V44" s="32"/>
      <c r="W44" s="32"/>
      <c r="X44" s="33"/>
    </row>
    <row r="45" spans="1:25" ht="15.75" thickBot="1" x14ac:dyDescent="0.3">
      <c r="A45" s="24" t="s">
        <v>29</v>
      </c>
      <c r="B45" s="39"/>
      <c r="C45" s="39">
        <v>3</v>
      </c>
      <c r="D45" s="39"/>
      <c r="E45" s="39">
        <v>3</v>
      </c>
      <c r="F45" s="39">
        <v>3</v>
      </c>
      <c r="G45" s="39">
        <v>2</v>
      </c>
      <c r="H45" s="39">
        <v>3</v>
      </c>
      <c r="I45" s="8">
        <f>AVERAGE(B45:H45)</f>
        <v>2.8</v>
      </c>
      <c r="M45" s="22" t="s">
        <v>26</v>
      </c>
      <c r="V45" s="32"/>
      <c r="W45" s="32"/>
      <c r="X45" s="33"/>
    </row>
    <row r="46" spans="1:25" ht="15.75" thickBot="1" x14ac:dyDescent="0.3">
      <c r="A46" s="24" t="s">
        <v>34</v>
      </c>
      <c r="B46" s="38"/>
      <c r="C46" s="38">
        <v>3.7690000000000001</v>
      </c>
      <c r="D46" s="38"/>
      <c r="E46" s="38">
        <v>3.7360000000000002</v>
      </c>
      <c r="F46" s="38">
        <v>3.6560000000000001</v>
      </c>
      <c r="G46" s="38">
        <v>3.1145</v>
      </c>
      <c r="H46" s="38">
        <v>3.4849999999999999</v>
      </c>
      <c r="I46" s="8"/>
      <c r="M46" t="s">
        <v>25</v>
      </c>
      <c r="V46" s="32"/>
      <c r="W46" s="32"/>
      <c r="X46" s="33"/>
    </row>
    <row r="47" spans="1:25" ht="15.75" thickBot="1" x14ac:dyDescent="0.3">
      <c r="A47" s="23" t="s">
        <v>20</v>
      </c>
      <c r="B47" s="4"/>
      <c r="C47" s="4">
        <v>79</v>
      </c>
      <c r="D47" s="4"/>
      <c r="E47" s="4">
        <v>499</v>
      </c>
      <c r="F47" s="39">
        <v>1242</v>
      </c>
      <c r="G47" s="39">
        <v>1048</v>
      </c>
      <c r="H47" s="39">
        <v>272</v>
      </c>
      <c r="I47" s="7">
        <f>E47+F47+G47+H47+D47+C47+B47</f>
        <v>3140</v>
      </c>
      <c r="J47" s="9">
        <f>I42/I47</f>
        <v>0.21019108280254778</v>
      </c>
      <c r="V47" s="32"/>
      <c r="W47" s="32"/>
      <c r="X47" s="33"/>
    </row>
    <row r="48" spans="1:25" ht="15.75" thickBot="1" x14ac:dyDescent="0.3">
      <c r="A48" s="28" t="s">
        <v>21</v>
      </c>
      <c r="B48" s="47"/>
      <c r="C48" s="47">
        <v>0.15189873417721519</v>
      </c>
      <c r="D48" s="47"/>
      <c r="E48" s="47">
        <v>0.18436873747494989</v>
      </c>
      <c r="F48" s="47">
        <v>0.18035426731078905</v>
      </c>
      <c r="G48" s="47">
        <v>0.30343511450381677</v>
      </c>
      <c r="H48" s="47">
        <v>0.23529411764705882</v>
      </c>
      <c r="I48" s="37">
        <f t="shared" ref="I48:I50" si="6">AVERAGE($B48:$H48)</f>
        <v>0.21107019422276596</v>
      </c>
      <c r="J48" s="31"/>
      <c r="V48" s="32"/>
      <c r="W48" s="32"/>
      <c r="X48" s="33"/>
    </row>
    <row r="49" spans="1:25" ht="15.75" thickBot="1" x14ac:dyDescent="0.3">
      <c r="A49" s="29" t="s">
        <v>22</v>
      </c>
      <c r="B49" s="30"/>
      <c r="C49" s="30">
        <v>0.189873417721519</v>
      </c>
      <c r="D49" s="30"/>
      <c r="E49" s="30">
        <v>0.11422845691382766</v>
      </c>
      <c r="F49" s="48">
        <v>5.2334943639291469E-2</v>
      </c>
      <c r="G49" s="48">
        <v>7.9198473282442741E-2</v>
      </c>
      <c r="H49" s="48">
        <v>2.9411764705882353E-2</v>
      </c>
      <c r="I49" s="37">
        <f t="shared" si="6"/>
        <v>9.3009411252592641E-2</v>
      </c>
      <c r="J49" s="31"/>
      <c r="V49" s="32"/>
      <c r="W49" s="32"/>
      <c r="X49" s="33"/>
    </row>
    <row r="50" spans="1:25" ht="15.75" thickBot="1" x14ac:dyDescent="0.3">
      <c r="A50" s="27" t="s">
        <v>23</v>
      </c>
      <c r="B50" s="47"/>
      <c r="C50" s="47">
        <v>0.48101265822784811</v>
      </c>
      <c r="D50" s="47"/>
      <c r="E50" s="47">
        <v>0.64529058116232463</v>
      </c>
      <c r="F50" s="47">
        <v>0.67149758454106279</v>
      </c>
      <c r="G50" s="47">
        <v>0.54103053435114501</v>
      </c>
      <c r="H50" s="47">
        <v>0.69852941176470584</v>
      </c>
      <c r="I50" s="37">
        <f t="shared" si="6"/>
        <v>0.60747215400941723</v>
      </c>
      <c r="J50" s="31"/>
      <c r="V50" s="32"/>
      <c r="W50" s="32"/>
      <c r="X50" s="33"/>
    </row>
    <row r="51" spans="1:25" ht="15.75" thickBot="1" x14ac:dyDescent="0.3">
      <c r="A51" s="21" t="s">
        <v>24</v>
      </c>
      <c r="B51" s="30"/>
      <c r="C51" s="30">
        <v>0.17721518987341772</v>
      </c>
      <c r="D51" s="30"/>
      <c r="E51" s="30">
        <v>5.6112224448897796E-2</v>
      </c>
      <c r="F51" s="48">
        <v>9.5813204508856678E-2</v>
      </c>
      <c r="G51" s="48">
        <v>7.6335877862595422E-2</v>
      </c>
      <c r="H51" s="48">
        <v>3.6764705882352942E-2</v>
      </c>
      <c r="I51" s="37">
        <f>AVERAGE($B51:$H51)</f>
        <v>8.8448240515224111E-2</v>
      </c>
      <c r="J51" s="31"/>
      <c r="V51" s="32"/>
      <c r="W51" s="32"/>
      <c r="X51" s="33"/>
    </row>
    <row r="52" spans="1:25" ht="15.75" thickBot="1" x14ac:dyDescent="0.3">
      <c r="A52" s="21" t="s">
        <v>30</v>
      </c>
      <c r="B52" s="36"/>
      <c r="C52" s="36">
        <v>0</v>
      </c>
      <c r="D52" s="36"/>
      <c r="E52" s="36">
        <v>3</v>
      </c>
      <c r="F52" s="40">
        <v>4</v>
      </c>
      <c r="G52" s="40">
        <v>20</v>
      </c>
      <c r="H52" s="40">
        <v>1</v>
      </c>
      <c r="I52" s="8">
        <f>AVERAGE(B52:H52)</f>
        <v>5.6</v>
      </c>
      <c r="V52" s="32"/>
      <c r="W52" s="32"/>
      <c r="X52" s="33"/>
    </row>
    <row r="53" spans="1:25" ht="15.75" thickBot="1" x14ac:dyDescent="0.3">
      <c r="A53" s="21" t="s">
        <v>33</v>
      </c>
      <c r="B53" s="30"/>
      <c r="C53" s="30">
        <v>0.18459999999999999</v>
      </c>
      <c r="D53" s="30"/>
      <c r="E53" s="30">
        <v>0.13150000000000001</v>
      </c>
      <c r="F53" s="30">
        <v>4.1230000000000003E-2</v>
      </c>
      <c r="G53" s="30">
        <v>0.18859999999999999</v>
      </c>
      <c r="H53" s="30">
        <v>4.5449999999999997E-2</v>
      </c>
      <c r="I53" s="37">
        <f>AVERAGE(B53:H53)</f>
        <v>0.11827600000000001</v>
      </c>
      <c r="W53" s="32"/>
      <c r="X53" s="32"/>
      <c r="Y53" s="33"/>
    </row>
    <row r="54" spans="1:25" ht="15.75" thickBot="1" x14ac:dyDescent="0.3">
      <c r="A54" s="21" t="s">
        <v>31</v>
      </c>
      <c r="B54" s="36"/>
      <c r="C54" s="36">
        <v>1.75</v>
      </c>
      <c r="D54" s="36"/>
      <c r="E54" s="36">
        <v>2.75</v>
      </c>
      <c r="F54" s="38">
        <v>12.5</v>
      </c>
      <c r="G54" s="38">
        <v>5.75</v>
      </c>
      <c r="H54" s="38">
        <v>1</v>
      </c>
      <c r="I54" s="8">
        <f>AVERAGE(B54:H54)</f>
        <v>4.75</v>
      </c>
      <c r="W54" s="32"/>
      <c r="X54" s="32"/>
      <c r="Y54" s="33"/>
    </row>
    <row r="55" spans="1:25" ht="15.75" thickBot="1" x14ac:dyDescent="0.3">
      <c r="A55" s="21" t="s">
        <v>32</v>
      </c>
      <c r="B55" s="30"/>
      <c r="C55" s="30">
        <v>0.24129999999999999</v>
      </c>
      <c r="D55" s="30"/>
      <c r="E55" s="30">
        <v>6.7070000000000005E-2</v>
      </c>
      <c r="F55" s="30">
        <v>0.1179</v>
      </c>
      <c r="G55" s="30">
        <v>6.3E-2</v>
      </c>
      <c r="H55" s="30">
        <v>2.9409999999999999E-2</v>
      </c>
      <c r="I55" s="37">
        <f>AVERAGE(B55:H55)</f>
        <v>0.10373600000000001</v>
      </c>
      <c r="W55" s="32"/>
      <c r="X55" s="32"/>
      <c r="Y55" s="33"/>
    </row>
    <row r="56" spans="1:25" x14ac:dyDescent="0.25">
      <c r="W56" s="32"/>
      <c r="X56" s="32"/>
      <c r="Y56" s="33"/>
    </row>
    <row r="57" spans="1:25" x14ac:dyDescent="0.25">
      <c r="W57" s="32"/>
    </row>
    <row r="58" spans="1:25" x14ac:dyDescent="0.25">
      <c r="W58" s="32"/>
    </row>
    <row r="59" spans="1:25" x14ac:dyDescent="0.25">
      <c r="W59" s="32"/>
    </row>
  </sheetData>
  <mergeCells count="1">
    <mergeCell ref="A1:J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A68F-6D57-4C68-B7A6-FFBB11B5A503}">
  <dimension ref="A1:G28"/>
  <sheetViews>
    <sheetView workbookViewId="0">
      <selection activeCell="C34" sqref="C34"/>
    </sheetView>
  </sheetViews>
  <sheetFormatPr baseColWidth="10" defaultRowHeight="15" x14ac:dyDescent="0.25"/>
  <cols>
    <col min="1" max="1" width="28.140625" bestFit="1" customWidth="1"/>
  </cols>
  <sheetData>
    <row r="1" spans="1:7" ht="15.75" thickBot="1" x14ac:dyDescent="0.3">
      <c r="A1" s="10" t="s">
        <v>7</v>
      </c>
    </row>
    <row r="2" spans="1:7" ht="15.75" thickBot="1" x14ac:dyDescent="0.3">
      <c r="A2" s="1" t="s">
        <v>0</v>
      </c>
      <c r="B2" s="2">
        <v>2023</v>
      </c>
      <c r="C2" s="2">
        <v>2024</v>
      </c>
      <c r="D2" s="2">
        <v>2025</v>
      </c>
      <c r="E2" s="2">
        <v>2026</v>
      </c>
      <c r="F2" s="6" t="s">
        <v>5</v>
      </c>
    </row>
    <row r="3" spans="1:7" ht="15.75" thickBot="1" x14ac:dyDescent="0.3">
      <c r="A3" s="3" t="s">
        <v>1</v>
      </c>
      <c r="B3" s="4">
        <v>100</v>
      </c>
      <c r="C3" s="4">
        <v>223</v>
      </c>
      <c r="D3" s="4">
        <v>88</v>
      </c>
      <c r="E3" s="4">
        <v>58</v>
      </c>
      <c r="F3" s="7">
        <f>B3+C3+D3+E3</f>
        <v>469</v>
      </c>
    </row>
    <row r="4" spans="1:7" ht="15.75" thickBot="1" x14ac:dyDescent="0.3">
      <c r="A4" s="3" t="s">
        <v>2</v>
      </c>
      <c r="B4" s="4">
        <v>52</v>
      </c>
      <c r="C4" s="18">
        <v>199</v>
      </c>
      <c r="D4" s="16">
        <v>42</v>
      </c>
      <c r="E4" s="18">
        <v>58</v>
      </c>
      <c r="F4" s="7">
        <f>B4+C4+D4+E4</f>
        <v>351</v>
      </c>
      <c r="G4">
        <f>F4</f>
        <v>351</v>
      </c>
    </row>
    <row r="5" spans="1:7" ht="15.75" thickBot="1" x14ac:dyDescent="0.3">
      <c r="A5" s="3" t="s">
        <v>6</v>
      </c>
      <c r="B5" s="4">
        <v>523</v>
      </c>
      <c r="C5" s="4">
        <v>1092</v>
      </c>
      <c r="D5" s="4">
        <v>249</v>
      </c>
      <c r="E5" s="4">
        <v>261</v>
      </c>
      <c r="F5" s="7">
        <f>B5+C5+D5+E5</f>
        <v>2125</v>
      </c>
      <c r="G5" s="9">
        <f>F6/F5</f>
        <v>0.13647058823529412</v>
      </c>
    </row>
    <row r="6" spans="1:7" ht="15.75" thickBot="1" x14ac:dyDescent="0.3">
      <c r="A6" s="3" t="s">
        <v>3</v>
      </c>
      <c r="B6" s="4">
        <v>43</v>
      </c>
      <c r="C6" s="18">
        <v>181</v>
      </c>
      <c r="D6" s="17">
        <v>19</v>
      </c>
      <c r="E6" s="18">
        <v>47</v>
      </c>
      <c r="F6" s="7">
        <f>B6+C6+D6+E6</f>
        <v>290</v>
      </c>
      <c r="G6" s="9">
        <f>F6/F4</f>
        <v>0.8262108262108262</v>
      </c>
    </row>
    <row r="7" spans="1:7" ht="15.75" thickBot="1" x14ac:dyDescent="0.3">
      <c r="A7" s="3" t="s">
        <v>4</v>
      </c>
      <c r="B7" s="4">
        <v>9</v>
      </c>
      <c r="C7" s="4">
        <v>18</v>
      </c>
      <c r="D7" s="12">
        <v>24</v>
      </c>
      <c r="E7" s="12">
        <v>11</v>
      </c>
      <c r="F7" s="7">
        <f>B7+C7+D7+E7</f>
        <v>62</v>
      </c>
      <c r="G7" s="9">
        <f>F7/F4</f>
        <v>0.17663817663817663</v>
      </c>
    </row>
    <row r="8" spans="1:7" ht="15.75" thickBot="1" x14ac:dyDescent="0.3">
      <c r="A8" s="3" t="s">
        <v>8</v>
      </c>
      <c r="B8" s="5"/>
      <c r="C8" s="5">
        <v>4.7</v>
      </c>
      <c r="D8" s="13">
        <v>4.5</v>
      </c>
      <c r="E8" s="13">
        <v>3.8</v>
      </c>
      <c r="F8" s="8">
        <f>AVERAGE(B8:E8)</f>
        <v>4.333333333333333</v>
      </c>
    </row>
    <row r="9" spans="1:7" ht="15.75" thickBot="1" x14ac:dyDescent="0.3">
      <c r="A9" s="3" t="s">
        <v>9</v>
      </c>
      <c r="B9" s="4"/>
      <c r="C9" s="4">
        <v>3</v>
      </c>
      <c r="D9" s="12">
        <v>3</v>
      </c>
      <c r="E9" s="12">
        <v>3</v>
      </c>
      <c r="F9" s="8">
        <f>AVERAGE(B9:E9)</f>
        <v>3</v>
      </c>
    </row>
    <row r="10" spans="1:7" ht="15.75" thickBot="1" x14ac:dyDescent="0.3">
      <c r="A10" s="10" t="s">
        <v>11</v>
      </c>
    </row>
    <row r="11" spans="1:7" ht="15.75" thickBot="1" x14ac:dyDescent="0.3">
      <c r="A11" s="1" t="s">
        <v>0</v>
      </c>
      <c r="B11" s="2">
        <v>2023</v>
      </c>
      <c r="C11" s="2">
        <v>2024</v>
      </c>
      <c r="D11" s="2">
        <v>2025</v>
      </c>
      <c r="E11" s="2">
        <v>2026</v>
      </c>
      <c r="F11" s="6" t="s">
        <v>5</v>
      </c>
    </row>
    <row r="12" spans="1:7" ht="15.75" thickBot="1" x14ac:dyDescent="0.3">
      <c r="A12" s="3" t="s">
        <v>1</v>
      </c>
      <c r="B12" s="12">
        <v>0</v>
      </c>
      <c r="C12" s="4">
        <v>85</v>
      </c>
      <c r="D12" s="4">
        <v>313</v>
      </c>
      <c r="E12" s="4">
        <v>20</v>
      </c>
      <c r="F12" s="7">
        <f>B12+C12+D12+E12</f>
        <v>418</v>
      </c>
    </row>
    <row r="13" spans="1:7" ht="15.75" thickBot="1" x14ac:dyDescent="0.3">
      <c r="A13" s="3" t="s">
        <v>2</v>
      </c>
      <c r="B13" s="12">
        <v>0</v>
      </c>
      <c r="C13" s="16">
        <v>77</v>
      </c>
      <c r="D13" s="18">
        <v>310</v>
      </c>
      <c r="E13" s="16">
        <v>20</v>
      </c>
      <c r="F13" s="7">
        <f>B13+C13+D13+E13</f>
        <v>407</v>
      </c>
      <c r="G13">
        <f>F13</f>
        <v>407</v>
      </c>
    </row>
    <row r="14" spans="1:7" ht="15.75" thickBot="1" x14ac:dyDescent="0.3">
      <c r="A14" s="3" t="s">
        <v>6</v>
      </c>
      <c r="B14" s="12">
        <v>0</v>
      </c>
      <c r="C14" s="4">
        <v>294</v>
      </c>
      <c r="D14" s="4">
        <v>776</v>
      </c>
      <c r="E14" s="4">
        <v>110</v>
      </c>
      <c r="F14" s="7">
        <f>C14+D14+E14</f>
        <v>1180</v>
      </c>
      <c r="G14" s="9">
        <f>E15/E14</f>
        <v>0.14545454545454545</v>
      </c>
    </row>
    <row r="15" spans="1:7" ht="15.75" thickBot="1" x14ac:dyDescent="0.3">
      <c r="A15" s="3" t="s">
        <v>3</v>
      </c>
      <c r="B15" s="12">
        <v>0</v>
      </c>
      <c r="C15" s="16">
        <v>72</v>
      </c>
      <c r="D15" s="18">
        <v>300</v>
      </c>
      <c r="E15" s="19">
        <v>16</v>
      </c>
      <c r="F15" s="7">
        <f>B15+C15+D15+E15</f>
        <v>388</v>
      </c>
      <c r="G15" s="9">
        <f>F15/F13</f>
        <v>0.95331695331695332</v>
      </c>
    </row>
    <row r="16" spans="1:7" ht="15.75" thickBot="1" x14ac:dyDescent="0.3">
      <c r="A16" s="3" t="s">
        <v>4</v>
      </c>
      <c r="B16" s="12">
        <v>0</v>
      </c>
      <c r="C16" s="4">
        <v>5</v>
      </c>
      <c r="D16" s="14">
        <v>10</v>
      </c>
      <c r="E16" s="14">
        <v>4</v>
      </c>
      <c r="F16" s="7">
        <f>B16+C16+D16+E16</f>
        <v>19</v>
      </c>
      <c r="G16" s="9">
        <f>F16/F13</f>
        <v>4.6683046683046681E-2</v>
      </c>
    </row>
    <row r="17" spans="1:7" ht="15.75" thickBot="1" x14ac:dyDescent="0.3">
      <c r="A17" s="3" t="s">
        <v>8</v>
      </c>
      <c r="B17" s="5"/>
      <c r="C17" s="4">
        <v>4.4000000000000004</v>
      </c>
      <c r="D17" s="14">
        <v>3</v>
      </c>
      <c r="E17" s="14">
        <v>4</v>
      </c>
      <c r="F17" s="8">
        <f>AVERAGE(C17:E17)</f>
        <v>3.8000000000000003</v>
      </c>
    </row>
    <row r="18" spans="1:7" ht="15.75" thickBot="1" x14ac:dyDescent="0.3">
      <c r="A18" s="3" t="s">
        <v>9</v>
      </c>
      <c r="B18" s="5"/>
      <c r="C18" s="4">
        <v>3</v>
      </c>
      <c r="D18" s="14">
        <v>2</v>
      </c>
      <c r="E18" s="14">
        <v>3</v>
      </c>
      <c r="F18" s="8">
        <f>AVERAGE(C18:E18)</f>
        <v>2.6666666666666665</v>
      </c>
    </row>
    <row r="19" spans="1:7" ht="15.75" thickBot="1" x14ac:dyDescent="0.3">
      <c r="A19" s="10" t="s">
        <v>10</v>
      </c>
    </row>
    <row r="20" spans="1:7" ht="15.75" thickBot="1" x14ac:dyDescent="0.3">
      <c r="A20" s="1" t="s">
        <v>0</v>
      </c>
      <c r="B20" s="2">
        <v>2023</v>
      </c>
      <c r="C20" s="2">
        <v>2024</v>
      </c>
      <c r="D20" s="2">
        <v>2025</v>
      </c>
      <c r="E20" s="2">
        <v>2026</v>
      </c>
      <c r="F20" s="6" t="s">
        <v>5</v>
      </c>
    </row>
    <row r="21" spans="1:7" ht="15.75" thickBot="1" x14ac:dyDescent="0.3">
      <c r="A21" s="3" t="s">
        <v>1</v>
      </c>
      <c r="B21" s="4">
        <f t="shared" ref="B21:E22" si="0">B3+B12</f>
        <v>100</v>
      </c>
      <c r="C21" s="4">
        <f t="shared" si="0"/>
        <v>308</v>
      </c>
      <c r="D21" s="4">
        <f t="shared" si="0"/>
        <v>401</v>
      </c>
      <c r="E21" s="4">
        <f t="shared" si="0"/>
        <v>78</v>
      </c>
      <c r="F21" s="7">
        <f>B21+C21+D21+E21</f>
        <v>887</v>
      </c>
    </row>
    <row r="22" spans="1:7" ht="15.75" thickBot="1" x14ac:dyDescent="0.3">
      <c r="A22" s="3" t="s">
        <v>2</v>
      </c>
      <c r="B22" s="4">
        <f t="shared" si="0"/>
        <v>52</v>
      </c>
      <c r="C22" s="18">
        <f t="shared" si="0"/>
        <v>276</v>
      </c>
      <c r="D22" s="18">
        <f t="shared" si="0"/>
        <v>352</v>
      </c>
      <c r="E22" s="18">
        <f t="shared" si="0"/>
        <v>78</v>
      </c>
      <c r="F22" s="7">
        <f>B22+C22+D22+E22</f>
        <v>758</v>
      </c>
      <c r="G22">
        <f>F22</f>
        <v>758</v>
      </c>
    </row>
    <row r="23" spans="1:7" ht="15.75" thickBot="1" x14ac:dyDescent="0.3">
      <c r="A23" s="3" t="s">
        <v>6</v>
      </c>
      <c r="B23" s="12">
        <v>0</v>
      </c>
      <c r="C23" s="4">
        <f>C14+C5</f>
        <v>1386</v>
      </c>
      <c r="D23" s="4">
        <f>D14+D5</f>
        <v>1025</v>
      </c>
      <c r="E23" s="4">
        <f>E14+E5</f>
        <v>371</v>
      </c>
      <c r="F23" s="7">
        <f>C23+D23+E23</f>
        <v>2782</v>
      </c>
      <c r="G23" s="9">
        <f>F24/F23</f>
        <v>0.2437095614665708</v>
      </c>
    </row>
    <row r="24" spans="1:7" ht="15.75" thickBot="1" x14ac:dyDescent="0.3">
      <c r="A24" s="3" t="s">
        <v>3</v>
      </c>
      <c r="B24" s="4">
        <f t="shared" ref="B24:E25" si="1">B6+B15</f>
        <v>43</v>
      </c>
      <c r="C24" s="18">
        <f t="shared" si="1"/>
        <v>253</v>
      </c>
      <c r="D24" s="18">
        <f t="shared" si="1"/>
        <v>319</v>
      </c>
      <c r="E24" s="18">
        <f t="shared" si="1"/>
        <v>63</v>
      </c>
      <c r="F24" s="7">
        <f>B24+C24+D24+E24</f>
        <v>678</v>
      </c>
      <c r="G24" s="9">
        <f>F24/F22</f>
        <v>0.89445910290237463</v>
      </c>
    </row>
    <row r="25" spans="1:7" ht="15.75" thickBot="1" x14ac:dyDescent="0.3">
      <c r="A25" s="3" t="s">
        <v>4</v>
      </c>
      <c r="B25" s="4">
        <f t="shared" si="1"/>
        <v>9</v>
      </c>
      <c r="C25" s="4">
        <f t="shared" si="1"/>
        <v>23</v>
      </c>
      <c r="D25" s="4">
        <f t="shared" si="1"/>
        <v>34</v>
      </c>
      <c r="E25" s="4">
        <f t="shared" si="1"/>
        <v>15</v>
      </c>
      <c r="F25" s="7">
        <f>B25+C25+D25+E25</f>
        <v>81</v>
      </c>
      <c r="G25" s="9">
        <f>F25/F22</f>
        <v>0.10686015831134564</v>
      </c>
    </row>
    <row r="26" spans="1:7" ht="15.75" thickBot="1" x14ac:dyDescent="0.3">
      <c r="A26" s="3" t="s">
        <v>8</v>
      </c>
      <c r="B26" s="5">
        <f>B8</f>
        <v>0</v>
      </c>
      <c r="C26" s="5">
        <f>(C8*C6+C17*C15)/(C6+C15)</f>
        <v>4.6146245059288535</v>
      </c>
      <c r="D26" s="5">
        <f>(D8*D6+D17*D15)/(D6+D15)</f>
        <v>3.0893416927899686</v>
      </c>
      <c r="E26" s="5">
        <f>(E8*E6+E17*E15)/(E6+E15)</f>
        <v>3.8507936507936509</v>
      </c>
      <c r="F26" s="8">
        <f>AVERAGE(B26:E26)</f>
        <v>2.8886899623781184</v>
      </c>
    </row>
    <row r="27" spans="1:7" x14ac:dyDescent="0.25">
      <c r="A27" s="11" t="s">
        <v>12</v>
      </c>
      <c r="C27" s="15">
        <f>C24/C23</f>
        <v>0.18253968253968253</v>
      </c>
      <c r="D27" s="15">
        <f>D24/D23</f>
        <v>0.31121951219512195</v>
      </c>
      <c r="E27" s="15">
        <f>E24/E23</f>
        <v>0.16981132075471697</v>
      </c>
    </row>
    <row r="28" spans="1:7" x14ac:dyDescent="0.25">
      <c r="A28" s="11" t="s">
        <v>13</v>
      </c>
      <c r="C28" s="20">
        <f>1-C27</f>
        <v>0.81746031746031744</v>
      </c>
      <c r="D28" s="20">
        <f>1-D27</f>
        <v>0.68878048780487799</v>
      </c>
      <c r="E28" s="20">
        <f>1-E27</f>
        <v>0.83018867924528306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F28624ED5A4541967FD30F9910140D" ma:contentTypeVersion="20" ma:contentTypeDescription="Crée un document." ma:contentTypeScope="" ma:versionID="8babb7492d7a3eeb3c82159800ac1042">
  <xsd:schema xmlns:xsd="http://www.w3.org/2001/XMLSchema" xmlns:xs="http://www.w3.org/2001/XMLSchema" xmlns:p="http://schemas.microsoft.com/office/2006/metadata/properties" xmlns:ns2="e135b7c0-5e79-4069-be95-3779c5d32590" xmlns:ns3="fd3aeb3a-3efd-45ec-80bb-f0a4408318f6" targetNamespace="http://schemas.microsoft.com/office/2006/metadata/properties" ma:root="true" ma:fieldsID="0d822156cab0873ce6f210380ac0d3f3" ns2:_="" ns3:_="">
    <xsd:import namespace="e135b7c0-5e79-4069-be95-3779c5d32590"/>
    <xsd:import namespace="fd3aeb3a-3efd-45ec-80bb-f0a440831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5b7c0-5e79-4069-be95-3779c5d325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c0c6b64-d668-43d6-81a7-7d2510a694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aeb3a-3efd-45ec-80bb-f0a4408318f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16f4390-6f38-42d2-ab44-c03df67b81f3}" ma:internalName="TaxCatchAll" ma:showField="CatchAllData" ma:web="fd3aeb3a-3efd-45ec-80bb-f0a440831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3aeb3a-3efd-45ec-80bb-f0a4408318f6" xsi:nil="true"/>
    <lcf76f155ced4ddcb4097134ff3c332f xmlns="e135b7c0-5e79-4069-be95-3779c5d325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42AC76-C491-4FA7-AE2D-5F63508D03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5b7c0-5e79-4069-be95-3779c5d32590"/>
    <ds:schemaRef ds:uri="fd3aeb3a-3efd-45ec-80bb-f0a440831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FCD491-A026-44C4-BC44-ADF8D1DFF5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5A97DA-66D9-48C7-8777-FA3D5314CDBE}">
  <ds:schemaRefs>
    <ds:schemaRef ds:uri="http://schemas.microsoft.com/office/2006/metadata/properties"/>
    <ds:schemaRef ds:uri="http://schemas.microsoft.com/office/infopath/2007/PartnerControls"/>
    <ds:schemaRef ds:uri="fd3aeb3a-3efd-45ec-80bb-f0a4408318f6"/>
    <ds:schemaRef ds:uri="e135b7c0-5e79-4069-be95-3779c5d325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Analyse 260424(V1+V2)</vt:lpstr>
      <vt:lpstr>Analyse 260430(V2)</vt:lpstr>
      <vt:lpstr>Analyse 260420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DESRUELLE</dc:creator>
  <cp:lastModifiedBy>Vianney MIQUEL</cp:lastModifiedBy>
  <dcterms:created xsi:type="dcterms:W3CDTF">2026-04-22T10:10:28Z</dcterms:created>
  <dcterms:modified xsi:type="dcterms:W3CDTF">2026-04-30T15:08:03Z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0x01010030F28624ED5A4541967FD30F9910140D</vt:lpwstr>
  </property>
</Properties>
</file>